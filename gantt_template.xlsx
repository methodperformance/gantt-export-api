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352121_se_com/Documents/GON KERJOAN/08 METHOD COMMON/02. PROJECT/PEL/"/>
    </mc:Choice>
  </mc:AlternateContent>
  <xr:revisionPtr revIDLastSave="184" documentId="11_A52AB44983571E36D5883730E11D08626659491F" xr6:coauthVersionLast="47" xr6:coauthVersionMax="47" xr10:uidLastSave="{2E27214A-73C3-407A-BB8F-8EDFB4DB8257}"/>
  <bookViews>
    <workbookView xWindow="-108" yWindow="-108" windowWidth="23256" windowHeight="13896" tabRatio="500" activeTab="1" xr2:uid="{00000000-000D-0000-FFFF-FFFF00000000}"/>
  </bookViews>
  <sheets>
    <sheet name="How to Use" sheetId="1" r:id="rId1"/>
    <sheet name="Gantt" sheetId="2" r:id="rId2"/>
    <sheet name="Example" sheetId="3" r:id="rId3"/>
  </sheets>
  <definedNames>
    <definedName name="_xlnm._FilterDatabase" localSheetId="1" hidden="1">Gantt!$A$5:$H$83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7" i="2" l="1"/>
  <c r="G56" i="2"/>
  <c r="G55" i="2"/>
  <c r="G54" i="2"/>
  <c r="G53" i="2"/>
  <c r="G52" i="2"/>
  <c r="E57" i="2"/>
  <c r="E56" i="2"/>
  <c r="E55" i="2"/>
  <c r="E54" i="2"/>
  <c r="E53" i="2"/>
  <c r="E52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G22" i="2"/>
  <c r="D19" i="2"/>
  <c r="G19" i="2" s="1"/>
  <c r="G18" i="2"/>
  <c r="G17" i="2"/>
  <c r="G16" i="2"/>
  <c r="G15" i="2"/>
  <c r="G14" i="2"/>
  <c r="E18" i="2"/>
  <c r="E17" i="2"/>
  <c r="E16" i="2"/>
  <c r="E15" i="2"/>
  <c r="E14" i="2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7" i="3"/>
  <c r="E17" i="3"/>
  <c r="G16" i="3"/>
  <c r="E16" i="3"/>
  <c r="G15" i="3"/>
  <c r="E15" i="3"/>
  <c r="G14" i="3"/>
  <c r="E14" i="3"/>
  <c r="G13" i="3"/>
  <c r="E13" i="3"/>
  <c r="G11" i="3"/>
  <c r="E11" i="3"/>
  <c r="G10" i="3"/>
  <c r="E10" i="3"/>
  <c r="G9" i="3"/>
  <c r="E9" i="3"/>
  <c r="G8" i="3"/>
  <c r="E8" i="3"/>
  <c r="K6" i="3"/>
  <c r="L6" i="3" s="1"/>
  <c r="J6" i="3"/>
  <c r="I6" i="3"/>
  <c r="J5" i="3"/>
  <c r="I5" i="3"/>
  <c r="M4" i="3"/>
  <c r="A4" i="3"/>
  <c r="D2" i="3"/>
  <c r="G83" i="2"/>
  <c r="E83" i="2"/>
  <c r="G82" i="2"/>
  <c r="E82" i="2"/>
  <c r="G81" i="2"/>
  <c r="E81" i="2"/>
  <c r="G80" i="2"/>
  <c r="E80" i="2"/>
  <c r="G79" i="2"/>
  <c r="E79" i="2"/>
  <c r="G78" i="2"/>
  <c r="E78" i="2"/>
  <c r="G77" i="2"/>
  <c r="E77" i="2"/>
  <c r="G76" i="2"/>
  <c r="E76" i="2"/>
  <c r="G75" i="2"/>
  <c r="E75" i="2"/>
  <c r="G74" i="2"/>
  <c r="E74" i="2"/>
  <c r="G73" i="2"/>
  <c r="E73" i="2"/>
  <c r="G72" i="2"/>
  <c r="E72" i="2"/>
  <c r="G71" i="2"/>
  <c r="E71" i="2"/>
  <c r="G70" i="2"/>
  <c r="E70" i="2"/>
  <c r="G69" i="2"/>
  <c r="E69" i="2"/>
  <c r="G68" i="2"/>
  <c r="E68" i="2"/>
  <c r="G67" i="2"/>
  <c r="E67" i="2"/>
  <c r="G66" i="2"/>
  <c r="E66" i="2"/>
  <c r="G64" i="2"/>
  <c r="E64" i="2"/>
  <c r="G63" i="2"/>
  <c r="E63" i="2"/>
  <c r="G62" i="2"/>
  <c r="E62" i="2"/>
  <c r="G61" i="2"/>
  <c r="E61" i="2"/>
  <c r="G60" i="2"/>
  <c r="E60" i="2"/>
  <c r="G59" i="2"/>
  <c r="E59" i="2"/>
  <c r="G51" i="2"/>
  <c r="E51" i="2"/>
  <c r="G21" i="2"/>
  <c r="E21" i="2"/>
  <c r="G13" i="2"/>
  <c r="E13" i="2"/>
  <c r="G12" i="2"/>
  <c r="E12" i="2"/>
  <c r="G10" i="2"/>
  <c r="E10" i="2"/>
  <c r="G9" i="2"/>
  <c r="E9" i="2"/>
  <c r="G8" i="2"/>
  <c r="E8" i="2"/>
  <c r="I6" i="2"/>
  <c r="I5" i="2" s="1"/>
  <c r="M4" i="2"/>
  <c r="A4" i="2"/>
  <c r="D2" i="2"/>
  <c r="E19" i="2" l="1"/>
  <c r="C4" i="3"/>
  <c r="I4" i="2"/>
  <c r="J6" i="2"/>
  <c r="G4" i="3"/>
  <c r="G4" i="2"/>
  <c r="I4" i="3"/>
  <c r="E4" i="3"/>
  <c r="M6" i="3"/>
  <c r="L5" i="3"/>
  <c r="K5" i="3"/>
  <c r="C4" i="2"/>
  <c r="E4" i="2"/>
  <c r="K6" i="2" l="1"/>
  <c r="J5" i="2"/>
  <c r="N6" i="3"/>
  <c r="M5" i="3"/>
  <c r="L6" i="2" l="1"/>
  <c r="K5" i="2"/>
  <c r="O6" i="3"/>
  <c r="N5" i="3"/>
  <c r="M6" i="2" l="1"/>
  <c r="L5" i="2"/>
  <c r="O5" i="3"/>
  <c r="P6" i="3"/>
  <c r="M5" i="2" l="1"/>
  <c r="N6" i="2"/>
  <c r="P5" i="3"/>
  <c r="Q6" i="3"/>
  <c r="O6" i="2" l="1"/>
  <c r="N5" i="2"/>
  <c r="Q5" i="3"/>
  <c r="R6" i="3"/>
  <c r="O5" i="2" l="1"/>
  <c r="P6" i="2"/>
  <c r="R5" i="3"/>
  <c r="S6" i="3"/>
  <c r="Q6" i="2" l="1"/>
  <c r="P5" i="2"/>
  <c r="S5" i="3"/>
  <c r="T6" i="3"/>
  <c r="Q5" i="2" l="1"/>
  <c r="R6" i="2"/>
  <c r="T5" i="3"/>
  <c r="U6" i="3"/>
  <c r="R5" i="2" l="1"/>
  <c r="S6" i="2"/>
  <c r="U5" i="3"/>
  <c r="V6" i="3"/>
  <c r="T6" i="2" l="1"/>
  <c r="S5" i="2"/>
  <c r="V5" i="3"/>
  <c r="W6" i="3"/>
  <c r="T5" i="2" l="1"/>
  <c r="U6" i="2"/>
  <c r="X6" i="3"/>
  <c r="W5" i="3"/>
  <c r="V6" i="2" l="1"/>
  <c r="U5" i="2"/>
  <c r="Y6" i="3"/>
  <c r="X5" i="3"/>
  <c r="V5" i="2" l="1"/>
  <c r="W6" i="2"/>
  <c r="Z6" i="3"/>
  <c r="Y5" i="3"/>
  <c r="X6" i="2" l="1"/>
  <c r="W5" i="2"/>
  <c r="AA6" i="3"/>
  <c r="Z5" i="3"/>
  <c r="Y6" i="2" l="1"/>
  <c r="X5" i="2"/>
  <c r="AB6" i="3"/>
  <c r="AA5" i="3"/>
  <c r="Z6" i="2" l="1"/>
  <c r="Y5" i="2"/>
  <c r="AB5" i="3"/>
  <c r="AC6" i="3"/>
  <c r="AA6" i="2" l="1"/>
  <c r="Z5" i="2"/>
  <c r="AC5" i="3"/>
  <c r="AD6" i="3"/>
  <c r="AB6" i="2" l="1"/>
  <c r="AA5" i="2"/>
  <c r="AD5" i="3"/>
  <c r="AE6" i="3"/>
  <c r="AC6" i="2" l="1"/>
  <c r="AB5" i="2"/>
  <c r="AE5" i="3"/>
  <c r="AF6" i="3"/>
  <c r="AC5" i="2" l="1"/>
  <c r="AD6" i="2"/>
  <c r="AF5" i="3"/>
  <c r="AG6" i="3"/>
  <c r="AE6" i="2" l="1"/>
  <c r="AD5" i="2"/>
  <c r="AG5" i="3"/>
  <c r="AH6" i="3"/>
  <c r="AE5" i="2" l="1"/>
  <c r="AF6" i="2"/>
  <c r="AI6" i="3"/>
  <c r="AH5" i="3"/>
  <c r="AF5" i="2" l="1"/>
  <c r="AG6" i="2"/>
  <c r="AJ6" i="3"/>
  <c r="AI5" i="3"/>
  <c r="AH6" i="2" l="1"/>
  <c r="AG5" i="2"/>
  <c r="AK6" i="3"/>
  <c r="AJ5" i="3"/>
  <c r="AI6" i="2" l="1"/>
  <c r="AH5" i="2"/>
  <c r="AL6" i="3"/>
  <c r="AL5" i="3" s="1"/>
  <c r="AK5" i="3"/>
  <c r="AI5" i="2" l="1"/>
  <c r="AJ6" i="2"/>
  <c r="AK6" i="2" l="1"/>
  <c r="AJ5" i="2"/>
  <c r="AK5" i="2" l="1"/>
  <c r="AL6" i="2"/>
  <c r="AL5" i="2" s="1"/>
</calcChain>
</file>

<file path=xl/sharedStrings.xml><?xml version="1.0" encoding="utf-8"?>
<sst xmlns="http://schemas.openxmlformats.org/spreadsheetml/2006/main" count="286" uniqueCount="202">
  <si>
    <t>PROJECT MANAGEMENT — GANTT CHART TEMPLATE</t>
  </si>
  <si>
    <t>Quick Start</t>
  </si>
  <si>
    <t>1.</t>
  </si>
  <si>
    <t>Go to the "Gantt" sheet.</t>
  </si>
  <si>
    <t>2.</t>
  </si>
  <si>
    <t>Set the Project Start Date in the yellow cell (B2). Use a MONDAY for clean week alignment.</t>
  </si>
  <si>
    <t>3.</t>
  </si>
  <si>
    <t>For each task, fill in:  Task name • Owner • Start Date • End Date • % Done • Project Update</t>
  </si>
  <si>
    <t>4.</t>
  </si>
  <si>
    <t>Everything else is automatic — Duration, Status, Gantt bar, and the KPI summary at the top all update by themselves.</t>
  </si>
  <si>
    <t>KPI Summary (rows 3-4)</t>
  </si>
  <si>
    <t>TOTAL ACTION</t>
  </si>
  <si>
    <t>Counts all rows where a Start Date is filled (section headers excluded).</t>
  </si>
  <si>
    <t>OPEN</t>
  </si>
  <si>
    <t>Tasks with status = Planned (0% done, not yet started).</t>
  </si>
  <si>
    <t>IN PROGRESS</t>
  </si>
  <si>
    <t>Tasks currently being worked on (% Done between 0 and 100).</t>
  </si>
  <si>
    <t>DONE</t>
  </si>
  <si>
    <t>Tasks with % Done = 100%.</t>
  </si>
  <si>
    <t>DELAYED</t>
  </si>
  <si>
    <t>Tasks past their End Date but not yet 100% complete.</t>
  </si>
  <si>
    <t>% COMPLETION</t>
  </si>
  <si>
    <t>Average % Done across all real tasks — overall project progress.</t>
  </si>
  <si>
    <t>Status Colors (automatic)</t>
  </si>
  <si>
    <t>🟩 GREEN</t>
  </si>
  <si>
    <t>Done — when % Done = 100%</t>
  </si>
  <si>
    <t>🟦 BLUE</t>
  </si>
  <si>
    <t>In Progress — when 0% &lt; % Done &lt; 100% and End Date ≥ today</t>
  </si>
  <si>
    <t>🟥 RED</t>
  </si>
  <si>
    <t>Delayed — when End Date &lt; today AND % Done &lt; 100%</t>
  </si>
  <si>
    <t>⬜ GRAY</t>
  </si>
  <si>
    <t>Planned — when % Done = 0% and End Date ≥ today</t>
  </si>
  <si>
    <t>🟨 YELLOW</t>
  </si>
  <si>
    <t>Vertical band marks the current week (TODAY)</t>
  </si>
  <si>
    <t>Adjusting Week Columns</t>
  </si>
  <si>
    <t>•</t>
  </si>
  <si>
    <t>Shift all weeks: change the Project Start Date in cell B2.</t>
  </si>
  <si>
    <t>Show fewer weeks: right-click the unwanted week columns → Hide.</t>
  </si>
  <si>
    <t>Add more weeks: select the last week column, copy it, and paste to the right.</t>
  </si>
  <si>
    <t>Week labels (WK01, WK02, …) are calculated from the date in row 6 — do not type over them.</t>
  </si>
  <si>
    <t>Adding / Removing Tasks</t>
  </si>
  <si>
    <t>40 task rows are pre-formatted. Just type into the next empty row.</t>
  </si>
  <si>
    <t>For a section header (like "1. PLANNING"), type the name only — leave Start/End/% Done empty.</t>
  </si>
  <si>
    <t>To add more rows: select an existing task row, right-click → Insert. Formulas copy automatically.</t>
  </si>
  <si>
    <t>Color Code for Cells</t>
  </si>
  <si>
    <t>🟨 Yellow</t>
  </si>
  <si>
    <t>Input cells — you can type here.</t>
  </si>
  <si>
    <t>🔵 Blue text</t>
  </si>
  <si>
    <t>Hardcoded values you enter (dates, % Done).</t>
  </si>
  <si>
    <t>⚫ Black text</t>
  </si>
  <si>
    <t>Formulas — do not overwrite.</t>
  </si>
  <si>
    <t>Tip</t>
  </si>
  <si>
    <t>The header row and first 8 columns are frozen — scroll right to see future weeks while still seeing task names.</t>
  </si>
  <si>
    <t>PROJECT MANAGEMENT — GANTT CHART</t>
  </si>
  <si>
    <t>Project Start Date (Mon):</t>
  </si>
  <si>
    <t>Today:</t>
  </si>
  <si>
    <t>Legend:</t>
  </si>
  <si>
    <t>Done</t>
  </si>
  <si>
    <t>In Progress</t>
  </si>
  <si>
    <t>Planned</t>
  </si>
  <si>
    <t>Delayed</t>
  </si>
  <si>
    <t>Today</t>
  </si>
  <si>
    <t>Task / Milestone</t>
  </si>
  <si>
    <t>Owner</t>
  </si>
  <si>
    <t>Start Date</t>
  </si>
  <si>
    <t>End Date</t>
  </si>
  <si>
    <t>Duration
(days)</t>
  </si>
  <si>
    <t>% Done</t>
  </si>
  <si>
    <t>Status</t>
  </si>
  <si>
    <t>Project Update</t>
  </si>
  <si>
    <t>Week starting →</t>
  </si>
  <si>
    <t xml:space="preserve">  1. PLANNING</t>
  </si>
  <si>
    <t>Project kick-off</t>
  </si>
  <si>
    <t>All Team</t>
  </si>
  <si>
    <t>Define scope &amp; objectives</t>
  </si>
  <si>
    <t>PM</t>
  </si>
  <si>
    <t>Resource &amp; budget plan</t>
  </si>
  <si>
    <t>PM &amp; Lead</t>
  </si>
  <si>
    <t>Risk assessment</t>
  </si>
  <si>
    <t xml:space="preserve">  2. EXECUTION</t>
  </si>
  <si>
    <t>Setup workstations</t>
  </si>
  <si>
    <t>Engineering</t>
  </si>
  <si>
    <t>Procure materials</t>
  </si>
  <si>
    <t>Procurement</t>
  </si>
  <si>
    <t>Equipment commissioning</t>
  </si>
  <si>
    <t>Operator training</t>
  </si>
  <si>
    <t>HR &amp; Lead</t>
  </si>
  <si>
    <t>Pilot production run</t>
  </si>
  <si>
    <t>Production</t>
  </si>
  <si>
    <t xml:space="preserve">  3. TESTING &amp; GO-LIVE</t>
  </si>
  <si>
    <t>Quality validation</t>
  </si>
  <si>
    <t>QA</t>
  </si>
  <si>
    <t>Documentation &amp; SOPs</t>
  </si>
  <si>
    <t>Final sign-off</t>
  </si>
  <si>
    <t>Sponsor</t>
  </si>
  <si>
    <t xml:space="preserve">    Project kick-off meeting</t>
  </si>
  <si>
    <t>Method/Maintenance</t>
  </si>
  <si>
    <t xml:space="preserve">    Define scope &amp; objectives</t>
  </si>
  <si>
    <t xml:space="preserve">    Resource &amp; budget approval</t>
  </si>
  <si>
    <t>Bagus/Riky</t>
  </si>
  <si>
    <t xml:space="preserve">  2. EQUIPMENT PROCUREMENT</t>
  </si>
  <si>
    <t xml:space="preserve">    PO issue – SPEA T100</t>
  </si>
  <si>
    <t>Yudha/Sunanto</t>
  </si>
  <si>
    <t xml:space="preserve">    Delivery – SPEA T100</t>
  </si>
  <si>
    <t>SPEA/Sunanto</t>
  </si>
  <si>
    <t xml:space="preserve">    PO issue – Comisioning</t>
  </si>
  <si>
    <t>Sunanto</t>
  </si>
  <si>
    <t xml:space="preserve">    Delivery – Comisioning</t>
  </si>
  <si>
    <t xml:space="preserve">    PO issue – Progam Integration</t>
  </si>
  <si>
    <t>Riky</t>
  </si>
  <si>
    <t xml:space="preserve">    Delivery – Progam Integration</t>
  </si>
  <si>
    <t xml:space="preserve">    PO issue – New Fixture</t>
  </si>
  <si>
    <t xml:space="preserve">    Delivery – New Fixture</t>
  </si>
  <si>
    <t xml:space="preserve">    Layout Plan</t>
  </si>
  <si>
    <t xml:space="preserve">    Genba layout during Relay-out</t>
  </si>
  <si>
    <t>Riky/Bagus</t>
  </si>
  <si>
    <t xml:space="preserve">    Bench Prepparation</t>
  </si>
  <si>
    <t xml:space="preserve">    PC, Monitor &amp; Printer Preparation</t>
  </si>
  <si>
    <t>Riky/Sunanto</t>
  </si>
  <si>
    <t xml:space="preserve">    DB Panel Preparation </t>
  </si>
  <si>
    <t xml:space="preserve">    Line Acessories (Quality requirement)</t>
  </si>
  <si>
    <t xml:space="preserve">    PC LDS</t>
  </si>
  <si>
    <t>Muktar</t>
  </si>
  <si>
    <t xml:space="preserve">    Assembly Program Integration</t>
  </si>
  <si>
    <t xml:space="preserve">    ITAC (Process Flow)</t>
  </si>
  <si>
    <t xml:space="preserve">    ITAC (Matrix Material)</t>
  </si>
  <si>
    <t xml:space="preserve">    ITAC (BOM Creation)</t>
  </si>
  <si>
    <t>Friska</t>
  </si>
  <si>
    <t xml:space="preserve">    ITAC (Create Work Plan)</t>
  </si>
  <si>
    <t xml:space="preserve">    ITAC (Set Error Code)</t>
  </si>
  <si>
    <t>Irwan</t>
  </si>
  <si>
    <t xml:space="preserve">    ITAC (Info Text Data Update)</t>
  </si>
  <si>
    <t xml:space="preserve">    Handle Scanner</t>
  </si>
  <si>
    <t xml:space="preserve">    Golden Sample Matrix </t>
  </si>
  <si>
    <t xml:space="preserve">    UPS for SPEA</t>
  </si>
  <si>
    <t xml:space="preserve">    Nice Label Lisence</t>
  </si>
  <si>
    <t xml:space="preserve">    LAN Integration</t>
  </si>
  <si>
    <t xml:space="preserve">    Qualification Plan</t>
  </si>
  <si>
    <t xml:space="preserve">    Antistatique Mate</t>
  </si>
  <si>
    <t xml:space="preserve">    Pressure Integration</t>
  </si>
  <si>
    <t xml:space="preserve">    MPH Set-up</t>
  </si>
  <si>
    <t>Riky/Nadia</t>
  </si>
  <si>
    <t xml:space="preserve">    Line Lighting (Center &amp; Bench)</t>
  </si>
  <si>
    <t xml:space="preserve">    Reject Box (Yellow &amp; Red Box)</t>
  </si>
  <si>
    <t xml:space="preserve">    AM-PM Set-up</t>
  </si>
  <si>
    <t xml:space="preserve">    Stagging U-Disk for SPEA</t>
  </si>
  <si>
    <t xml:space="preserve">    Pallete Staging AGV</t>
  </si>
  <si>
    <t xml:space="preserve">    LDS &amp; DIS Set-up</t>
  </si>
  <si>
    <t>Funny/Bagus</t>
  </si>
  <si>
    <t xml:space="preserve">  3. EXECUTION</t>
  </si>
  <si>
    <t xml:space="preserve">  4. INSTALLATION &amp; SETUP</t>
  </si>
  <si>
    <t xml:space="preserve">    SPEA T100 installation &amp; cabling</t>
  </si>
  <si>
    <t>Sunanto / SPEA</t>
  </si>
  <si>
    <t xml:space="preserve">    Installation SPEA T100 to current line</t>
  </si>
  <si>
    <t xml:space="preserve">    SPEA T100 software load &amp; config</t>
  </si>
  <si>
    <t>SPEA FSE</t>
  </si>
  <si>
    <t xml:space="preserve">    Packing Bench #1 installation</t>
  </si>
  <si>
    <t xml:space="preserve">    Visual Bench #2 installation</t>
  </si>
  <si>
    <t xml:space="preserve">    Line-Relayout</t>
  </si>
  <si>
    <t xml:space="preserve">    Electrical Wiring &amp; Setup</t>
  </si>
  <si>
    <t>Riky/Sunanto/Irwan</t>
  </si>
  <si>
    <t xml:space="preserve">    SPEA T100 ICT program debug</t>
  </si>
  <si>
    <t>Test Eng</t>
  </si>
  <si>
    <t xml:space="preserve">    First-article inspection (FAI)</t>
  </si>
  <si>
    <t xml:space="preserve">   Capacity Measurement by MTM</t>
  </si>
  <si>
    <t>Funny</t>
  </si>
  <si>
    <t xml:space="preserve">   PFMEA Update</t>
  </si>
  <si>
    <t xml:space="preserve">   Qualification SPEA</t>
  </si>
  <si>
    <t xml:space="preserve">    Manual bench Qualification</t>
  </si>
  <si>
    <t xml:space="preserve">  6. TRAINING &amp; HANDOVER</t>
  </si>
  <si>
    <t xml:space="preserve">    Operator training – Manual Bench</t>
  </si>
  <si>
    <t>Trainee</t>
  </si>
  <si>
    <t xml:space="preserve">    Operator training – SPEA T100</t>
  </si>
  <si>
    <t>SPEA / Eng</t>
  </si>
  <si>
    <t xml:space="preserve">    SOP / WI documentation</t>
  </si>
  <si>
    <t xml:space="preserve">    Handover to Production</t>
  </si>
  <si>
    <t xml:space="preserve">    Project closure report</t>
  </si>
  <si>
    <t>🏁  LINE GO-LIVE</t>
  </si>
  <si>
    <t>All</t>
  </si>
  <si>
    <t>Lead time 12 wks; ETA 7 June 2026</t>
  </si>
  <si>
    <t>Waiting Eezy Approval</t>
  </si>
  <si>
    <t>38 refference Aurora</t>
  </si>
  <si>
    <t>Wating comfirmation Size required (Specialy for Aurora)</t>
  </si>
  <si>
    <t>Option 1 : Add Tester at current Back end
Option 2 : Create New Back End</t>
  </si>
  <si>
    <t>Option 1 : use ex Maximo
Option 2 : Use ex Kala</t>
  </si>
  <si>
    <t>Installation V.S</t>
  </si>
  <si>
    <t>Use From Bench KIZOKU</t>
  </si>
  <si>
    <t>ID Line ,ok1st part, Kamishibai, POKAYOKE) follow up with IRWAN</t>
  </si>
  <si>
    <t>Preppared by Muktar</t>
  </si>
  <si>
    <t>Create New; Modify PLC panel</t>
  </si>
  <si>
    <t>Source for ITAC Integration</t>
  </si>
  <si>
    <t>3 pcs required</t>
  </si>
  <si>
    <t>Check current Golden sample for Set-up New Tester</t>
  </si>
  <si>
    <t>4 Point</t>
  </si>
  <si>
    <t>Reffer Aurora at NIJI line (29-05-2026)
Considering MAC Address Issue</t>
  </si>
  <si>
    <t>Use Vendor</t>
  </si>
  <si>
    <t>BIN.SAP. Etc (calculating KB to OFO)</t>
  </si>
  <si>
    <t>Allready request to Facility to activated</t>
  </si>
  <si>
    <t>Include Set-up AGV</t>
  </si>
  <si>
    <t>waiting UPS confirmation (original missing UPS</t>
  </si>
  <si>
    <t>Trial Pocapick</t>
  </si>
  <si>
    <t xml:space="preserve">  5. TESTING &amp; 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</si>
</sst>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0%"/>
    <numFmt numFmtId="166" formatCode="dd\-mmm"/>
    <numFmt numFmtId="167" formatCode="dd\-mmm\-yy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10"/>
      <color rgb="FF0000FF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b/>
      <sz val="16"/>
      <color rgb="FF595959"/>
      <name val="Arial"/>
      <charset val="1"/>
    </font>
    <font>
      <b/>
      <sz val="16"/>
      <color rgb="FFA6A6A6"/>
      <name val="Arial"/>
      <charset val="1"/>
    </font>
    <font>
      <b/>
      <sz val="16"/>
      <color rgb="FF4472C4"/>
      <name val="Arial"/>
      <charset val="1"/>
    </font>
    <font>
      <b/>
      <sz val="16"/>
      <color rgb="FF00B050"/>
      <name val="Arial"/>
      <charset val="1"/>
    </font>
    <font>
      <b/>
      <sz val="16"/>
      <color rgb="FFC00000"/>
      <name val="Arial"/>
      <charset val="1"/>
    </font>
    <font>
      <b/>
      <sz val="16"/>
      <color rgb="FF1F4E78"/>
      <name val="Arial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i/>
      <sz val="8"/>
      <color rgb="FF595959"/>
      <name val="Arial"/>
      <charset val="1"/>
    </font>
    <font>
      <b/>
      <sz val="10"/>
      <color rgb="FF000000"/>
      <name val="Arial"/>
      <charset val="1"/>
    </font>
    <font>
      <b/>
      <sz val="10"/>
      <color rgb="FF1F4E78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5E7EB"/>
      </patternFill>
    </fill>
    <fill>
      <patternFill patternType="solid">
        <fgColor rgb="FFFFF2CC"/>
        <bgColor rgb="FFF2F2F2"/>
      </patternFill>
    </fill>
    <fill>
      <patternFill patternType="solid">
        <fgColor rgb="FF00B050"/>
        <bgColor rgb="FF008080"/>
      </patternFill>
    </fill>
    <fill>
      <patternFill patternType="solid">
        <fgColor rgb="FF4472C4"/>
        <bgColor rgb="FF0066CC"/>
      </patternFill>
    </fill>
    <fill>
      <patternFill patternType="solid">
        <fgColor rgb="FFA6A6A6"/>
        <bgColor rgb="FFBFBFBF"/>
      </patternFill>
    </fill>
    <fill>
      <patternFill patternType="solid">
        <fgColor rgb="FFC00000"/>
        <bgColor rgb="FF800000"/>
      </patternFill>
    </fill>
    <fill>
      <patternFill patternType="solid">
        <fgColor rgb="FFFFE699"/>
        <bgColor rgb="FFFFF2CC"/>
      </patternFill>
    </fill>
    <fill>
      <patternFill patternType="solid">
        <fgColor rgb="FF595959"/>
        <bgColor rgb="FF1F4E78"/>
      </patternFill>
    </fill>
    <fill>
      <patternFill patternType="solid">
        <fgColor rgb="FFF2F2F2"/>
        <bgColor rgb="FFE5E7EB"/>
      </patternFill>
    </fill>
    <fill>
      <patternFill patternType="solid">
        <fgColor rgb="FFE5E7EB"/>
        <b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166" fontId="1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" fontId="8" fillId="11" borderId="2" xfId="0" applyNumberFormat="1" applyFont="1" applyFill="1" applyBorder="1" applyAlignment="1">
      <alignment horizontal="center" vertical="center" wrapText="1"/>
    </xf>
    <xf numFmtId="1" fontId="9" fillId="11" borderId="2" xfId="0" applyNumberFormat="1" applyFont="1" applyFill="1" applyBorder="1" applyAlignment="1">
      <alignment horizontal="center" vertical="center" wrapText="1"/>
    </xf>
    <xf numFmtId="1" fontId="10" fillId="11" borderId="2" xfId="0" applyNumberFormat="1" applyFont="1" applyFill="1" applyBorder="1" applyAlignment="1">
      <alignment horizontal="center" vertical="center" wrapText="1"/>
    </xf>
    <xf numFmtId="1" fontId="11" fillId="11" borderId="2" xfId="0" applyNumberFormat="1" applyFont="1" applyFill="1" applyBorder="1" applyAlignment="1">
      <alignment horizontal="center" vertical="center" wrapText="1"/>
    </xf>
    <xf numFmtId="1" fontId="12" fillId="11" borderId="2" xfId="0" applyNumberFormat="1" applyFont="1" applyFill="1" applyBorder="1" applyAlignment="1">
      <alignment horizontal="center" vertical="center" wrapText="1"/>
    </xf>
    <xf numFmtId="165" fontId="13" fillId="11" borderId="2" xfId="0" applyNumberFormat="1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18">
    <dxf>
      <font>
        <color rgb="FFA6A6A6"/>
      </font>
      <fill>
        <patternFill>
          <bgColor rgb="FFA6A6A6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4472C4"/>
      </font>
      <fill>
        <patternFill>
          <bgColor rgb="FF4472C4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sz val="10"/>
        <color rgb="FF000000"/>
        <name val="Arial"/>
        <charset val="1"/>
      </font>
      <fill>
        <patternFill>
          <bgColor rgb="FFFFE699"/>
        </patternFill>
      </fill>
    </dxf>
    <dxf>
      <font>
        <b/>
        <sz val="10"/>
        <color rgb="FFFFFFFF"/>
        <name val="Arial"/>
        <charset val="1"/>
      </font>
      <fill>
        <patternFill>
          <bgColor rgb="FFC00000"/>
        </patternFill>
      </fill>
    </dxf>
    <dxf>
      <font>
        <b/>
        <sz val="10"/>
        <color rgb="FFFFFFFF"/>
        <name val="Arial"/>
        <charset val="1"/>
      </font>
      <fill>
        <patternFill>
          <bgColor rgb="FFA6A6A6"/>
        </patternFill>
      </fill>
    </dxf>
    <dxf>
      <font>
        <b/>
        <sz val="10"/>
        <color rgb="FFFFFFFF"/>
        <name val="Arial"/>
        <charset val="1"/>
      </font>
      <fill>
        <patternFill>
          <bgColor rgb="FF4472C4"/>
        </patternFill>
      </fill>
    </dxf>
    <dxf>
      <font>
        <b/>
        <sz val="10"/>
        <color rgb="FFFFFFFF"/>
        <name val="Arial"/>
        <charset val="1"/>
      </font>
      <fill>
        <patternFill>
          <bgColor rgb="FF00B050"/>
        </patternFill>
      </fill>
    </dxf>
    <dxf>
      <font>
        <color rgb="FFA6A6A6"/>
      </font>
      <fill>
        <patternFill>
          <bgColor rgb="FFA6A6A6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4472C4"/>
      </font>
      <fill>
        <patternFill>
          <bgColor rgb="FF4472C4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sz val="10"/>
        <color rgb="FF000000"/>
        <name val="Arial"/>
        <charset val="1"/>
      </font>
      <fill>
        <patternFill>
          <bgColor rgb="FFFFE699"/>
        </patternFill>
      </fill>
    </dxf>
    <dxf>
      <font>
        <b/>
        <sz val="10"/>
        <color rgb="FFFFFFFF"/>
        <name val="Arial"/>
        <charset val="1"/>
      </font>
      <fill>
        <patternFill>
          <bgColor rgb="FFC00000"/>
        </patternFill>
      </fill>
    </dxf>
    <dxf>
      <font>
        <b/>
        <sz val="10"/>
        <color rgb="FFFFFFFF"/>
        <name val="Arial"/>
        <charset val="1"/>
      </font>
      <fill>
        <patternFill>
          <bgColor rgb="FFA6A6A6"/>
        </patternFill>
      </fill>
    </dxf>
    <dxf>
      <font>
        <b/>
        <sz val="10"/>
        <color rgb="FFFFFFFF"/>
        <name val="Arial"/>
        <charset val="1"/>
      </font>
      <fill>
        <patternFill>
          <bgColor rgb="FF4472C4"/>
        </patternFill>
      </fill>
    </dxf>
    <dxf>
      <font>
        <b/>
        <sz val="10"/>
        <color rgb="FFFFFFFF"/>
        <name val="Arial"/>
        <charset val="1"/>
      </font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14" customWidth="1"/>
    <col min="2" max="6" width="18" customWidth="1"/>
  </cols>
  <sheetData>
    <row r="1" spans="1:6" ht="30" customHeight="1" x14ac:dyDescent="0.3">
      <c r="A1" s="21" t="s">
        <v>0</v>
      </c>
      <c r="B1" s="21"/>
      <c r="C1" s="21"/>
      <c r="D1" s="21"/>
      <c r="E1" s="21"/>
      <c r="F1" s="21"/>
    </row>
    <row r="2" spans="1:6" ht="19.5" customHeight="1" x14ac:dyDescent="0.3">
      <c r="A2" s="1"/>
      <c r="B2" s="35"/>
      <c r="C2" s="35"/>
      <c r="D2" s="35"/>
      <c r="E2" s="35"/>
      <c r="F2" s="35"/>
    </row>
    <row r="3" spans="1:6" ht="21.75" customHeight="1" x14ac:dyDescent="0.3">
      <c r="A3" s="36" t="s">
        <v>1</v>
      </c>
      <c r="B3" s="36"/>
      <c r="C3" s="36"/>
      <c r="D3" s="36"/>
      <c r="E3" s="36"/>
      <c r="F3" s="36"/>
    </row>
    <row r="4" spans="1:6" ht="19.5" customHeight="1" x14ac:dyDescent="0.3">
      <c r="A4" s="1" t="s">
        <v>2</v>
      </c>
      <c r="B4" s="35" t="s">
        <v>3</v>
      </c>
      <c r="C4" s="35"/>
      <c r="D4" s="35"/>
      <c r="E4" s="35"/>
      <c r="F4" s="35"/>
    </row>
    <row r="5" spans="1:6" ht="19.5" customHeight="1" x14ac:dyDescent="0.3">
      <c r="A5" s="1" t="s">
        <v>4</v>
      </c>
      <c r="B5" s="35" t="s">
        <v>5</v>
      </c>
      <c r="C5" s="35"/>
      <c r="D5" s="35"/>
      <c r="E5" s="35"/>
      <c r="F5" s="35"/>
    </row>
    <row r="6" spans="1:6" ht="19.5" customHeight="1" x14ac:dyDescent="0.3">
      <c r="A6" s="1" t="s">
        <v>6</v>
      </c>
      <c r="B6" s="35" t="s">
        <v>7</v>
      </c>
      <c r="C6" s="35"/>
      <c r="D6" s="35"/>
      <c r="E6" s="35"/>
      <c r="F6" s="35"/>
    </row>
    <row r="7" spans="1:6" ht="19.5" customHeight="1" x14ac:dyDescent="0.3">
      <c r="A7" s="1" t="s">
        <v>8</v>
      </c>
      <c r="B7" s="35" t="s">
        <v>9</v>
      </c>
      <c r="C7" s="35"/>
      <c r="D7" s="35"/>
      <c r="E7" s="35"/>
      <c r="F7" s="35"/>
    </row>
    <row r="8" spans="1:6" ht="19.5" customHeight="1" x14ac:dyDescent="0.3">
      <c r="A8" s="1"/>
      <c r="B8" s="35"/>
      <c r="C8" s="35"/>
      <c r="D8" s="35"/>
      <c r="E8" s="35"/>
      <c r="F8" s="35"/>
    </row>
    <row r="9" spans="1:6" ht="21.75" customHeight="1" x14ac:dyDescent="0.3">
      <c r="A9" s="36" t="s">
        <v>10</v>
      </c>
      <c r="B9" s="36"/>
      <c r="C9" s="36"/>
      <c r="D9" s="36"/>
      <c r="E9" s="36"/>
      <c r="F9" s="36"/>
    </row>
    <row r="10" spans="1:6" ht="19.5" customHeight="1" x14ac:dyDescent="0.3">
      <c r="A10" s="1" t="s">
        <v>11</v>
      </c>
      <c r="B10" s="35" t="s">
        <v>12</v>
      </c>
      <c r="C10" s="35"/>
      <c r="D10" s="35"/>
      <c r="E10" s="35"/>
      <c r="F10" s="35"/>
    </row>
    <row r="11" spans="1:6" ht="19.5" customHeight="1" x14ac:dyDescent="0.3">
      <c r="A11" s="1" t="s">
        <v>13</v>
      </c>
      <c r="B11" s="35" t="s">
        <v>14</v>
      </c>
      <c r="C11" s="35"/>
      <c r="D11" s="35"/>
      <c r="E11" s="35"/>
      <c r="F11" s="35"/>
    </row>
    <row r="12" spans="1:6" ht="19.5" customHeight="1" x14ac:dyDescent="0.3">
      <c r="A12" s="1" t="s">
        <v>15</v>
      </c>
      <c r="B12" s="35" t="s">
        <v>16</v>
      </c>
      <c r="C12" s="35"/>
      <c r="D12" s="35"/>
      <c r="E12" s="35"/>
      <c r="F12" s="35"/>
    </row>
    <row r="13" spans="1:6" ht="19.5" customHeight="1" x14ac:dyDescent="0.3">
      <c r="A13" s="1" t="s">
        <v>17</v>
      </c>
      <c r="B13" s="35" t="s">
        <v>18</v>
      </c>
      <c r="C13" s="35"/>
      <c r="D13" s="35"/>
      <c r="E13" s="35"/>
      <c r="F13" s="35"/>
    </row>
    <row r="14" spans="1:6" ht="19.5" customHeight="1" x14ac:dyDescent="0.3">
      <c r="A14" s="1" t="s">
        <v>19</v>
      </c>
      <c r="B14" s="35" t="s">
        <v>20</v>
      </c>
      <c r="C14" s="35"/>
      <c r="D14" s="35"/>
      <c r="E14" s="35"/>
      <c r="F14" s="35"/>
    </row>
    <row r="15" spans="1:6" ht="19.5" customHeight="1" x14ac:dyDescent="0.3">
      <c r="A15" s="1" t="s">
        <v>21</v>
      </c>
      <c r="B15" s="35" t="s">
        <v>22</v>
      </c>
      <c r="C15" s="35"/>
      <c r="D15" s="35"/>
      <c r="E15" s="35"/>
      <c r="F15" s="35"/>
    </row>
    <row r="16" spans="1:6" ht="19.5" customHeight="1" x14ac:dyDescent="0.3">
      <c r="A16" s="1"/>
      <c r="B16" s="35"/>
      <c r="C16" s="35"/>
      <c r="D16" s="35"/>
      <c r="E16" s="35"/>
      <c r="F16" s="35"/>
    </row>
    <row r="17" spans="1:6" ht="21.75" customHeight="1" x14ac:dyDescent="0.3">
      <c r="A17" s="36" t="s">
        <v>23</v>
      </c>
      <c r="B17" s="36"/>
      <c r="C17" s="36"/>
      <c r="D17" s="36"/>
      <c r="E17" s="36"/>
      <c r="F17" s="36"/>
    </row>
    <row r="18" spans="1:6" ht="19.5" customHeight="1" x14ac:dyDescent="0.3">
      <c r="A18" s="1" t="s">
        <v>24</v>
      </c>
      <c r="B18" s="35" t="s">
        <v>25</v>
      </c>
      <c r="C18" s="35"/>
      <c r="D18" s="35"/>
      <c r="E18" s="35"/>
      <c r="F18" s="35"/>
    </row>
    <row r="19" spans="1:6" ht="19.5" customHeight="1" x14ac:dyDescent="0.3">
      <c r="A19" s="1" t="s">
        <v>26</v>
      </c>
      <c r="B19" s="35" t="s">
        <v>27</v>
      </c>
      <c r="C19" s="35"/>
      <c r="D19" s="35"/>
      <c r="E19" s="35"/>
      <c r="F19" s="35"/>
    </row>
    <row r="20" spans="1:6" ht="19.5" customHeight="1" x14ac:dyDescent="0.3">
      <c r="A20" s="1" t="s">
        <v>28</v>
      </c>
      <c r="B20" s="35" t="s">
        <v>29</v>
      </c>
      <c r="C20" s="35"/>
      <c r="D20" s="35"/>
      <c r="E20" s="35"/>
      <c r="F20" s="35"/>
    </row>
    <row r="21" spans="1:6" ht="19.5" customHeight="1" x14ac:dyDescent="0.3">
      <c r="A21" s="1" t="s">
        <v>30</v>
      </c>
      <c r="B21" s="35" t="s">
        <v>31</v>
      </c>
      <c r="C21" s="35"/>
      <c r="D21" s="35"/>
      <c r="E21" s="35"/>
      <c r="F21" s="35"/>
    </row>
    <row r="22" spans="1:6" ht="19.5" customHeight="1" x14ac:dyDescent="0.3">
      <c r="A22" s="1" t="s">
        <v>32</v>
      </c>
      <c r="B22" s="35" t="s">
        <v>33</v>
      </c>
      <c r="C22" s="35"/>
      <c r="D22" s="35"/>
      <c r="E22" s="35"/>
      <c r="F22" s="35"/>
    </row>
    <row r="23" spans="1:6" ht="19.5" customHeight="1" x14ac:dyDescent="0.3">
      <c r="A23" s="1"/>
      <c r="B23" s="35"/>
      <c r="C23" s="35"/>
      <c r="D23" s="35"/>
      <c r="E23" s="35"/>
      <c r="F23" s="35"/>
    </row>
    <row r="24" spans="1:6" ht="21.75" customHeight="1" x14ac:dyDescent="0.3">
      <c r="A24" s="36" t="s">
        <v>34</v>
      </c>
      <c r="B24" s="36"/>
      <c r="C24" s="36"/>
      <c r="D24" s="36"/>
      <c r="E24" s="36"/>
      <c r="F24" s="36"/>
    </row>
    <row r="25" spans="1:6" ht="19.5" customHeight="1" x14ac:dyDescent="0.3">
      <c r="A25" s="1" t="s">
        <v>35</v>
      </c>
      <c r="B25" s="35" t="s">
        <v>36</v>
      </c>
      <c r="C25" s="35"/>
      <c r="D25" s="35"/>
      <c r="E25" s="35"/>
      <c r="F25" s="35"/>
    </row>
    <row r="26" spans="1:6" ht="19.5" customHeight="1" x14ac:dyDescent="0.3">
      <c r="A26" s="1" t="s">
        <v>35</v>
      </c>
      <c r="B26" s="35" t="s">
        <v>37</v>
      </c>
      <c r="C26" s="35"/>
      <c r="D26" s="35"/>
      <c r="E26" s="35"/>
      <c r="F26" s="35"/>
    </row>
    <row r="27" spans="1:6" ht="19.5" customHeight="1" x14ac:dyDescent="0.3">
      <c r="A27" s="1" t="s">
        <v>35</v>
      </c>
      <c r="B27" s="35" t="s">
        <v>38</v>
      </c>
      <c r="C27" s="35"/>
      <c r="D27" s="35"/>
      <c r="E27" s="35"/>
      <c r="F27" s="35"/>
    </row>
    <row r="28" spans="1:6" ht="19.5" customHeight="1" x14ac:dyDescent="0.3">
      <c r="A28" s="1" t="s">
        <v>35</v>
      </c>
      <c r="B28" s="35" t="s">
        <v>39</v>
      </c>
      <c r="C28" s="35"/>
      <c r="D28" s="35"/>
      <c r="E28" s="35"/>
      <c r="F28" s="35"/>
    </row>
    <row r="29" spans="1:6" ht="19.5" customHeight="1" x14ac:dyDescent="0.3">
      <c r="A29" s="1"/>
      <c r="B29" s="35"/>
      <c r="C29" s="35"/>
      <c r="D29" s="35"/>
      <c r="E29" s="35"/>
      <c r="F29" s="35"/>
    </row>
    <row r="30" spans="1:6" ht="21.75" customHeight="1" x14ac:dyDescent="0.3">
      <c r="A30" s="36" t="s">
        <v>40</v>
      </c>
      <c r="B30" s="36"/>
      <c r="C30" s="36"/>
      <c r="D30" s="36"/>
      <c r="E30" s="36"/>
      <c r="F30" s="36"/>
    </row>
    <row r="31" spans="1:6" ht="19.5" customHeight="1" x14ac:dyDescent="0.3">
      <c r="A31" s="1" t="s">
        <v>35</v>
      </c>
      <c r="B31" s="35" t="s">
        <v>41</v>
      </c>
      <c r="C31" s="35"/>
      <c r="D31" s="35"/>
      <c r="E31" s="35"/>
      <c r="F31" s="35"/>
    </row>
    <row r="32" spans="1:6" ht="19.5" customHeight="1" x14ac:dyDescent="0.3">
      <c r="A32" s="1" t="s">
        <v>35</v>
      </c>
      <c r="B32" s="35" t="s">
        <v>42</v>
      </c>
      <c r="C32" s="35"/>
      <c r="D32" s="35"/>
      <c r="E32" s="35"/>
      <c r="F32" s="35"/>
    </row>
    <row r="33" spans="1:6" ht="19.5" customHeight="1" x14ac:dyDescent="0.3">
      <c r="A33" s="1" t="s">
        <v>35</v>
      </c>
      <c r="B33" s="35" t="s">
        <v>43</v>
      </c>
      <c r="C33" s="35"/>
      <c r="D33" s="35"/>
      <c r="E33" s="35"/>
      <c r="F33" s="35"/>
    </row>
    <row r="34" spans="1:6" ht="19.5" customHeight="1" x14ac:dyDescent="0.3">
      <c r="A34" s="1"/>
      <c r="B34" s="35"/>
      <c r="C34" s="35"/>
      <c r="D34" s="35"/>
      <c r="E34" s="35"/>
      <c r="F34" s="35"/>
    </row>
    <row r="35" spans="1:6" ht="21.75" customHeight="1" x14ac:dyDescent="0.3">
      <c r="A35" s="36" t="s">
        <v>44</v>
      </c>
      <c r="B35" s="36"/>
      <c r="C35" s="36"/>
      <c r="D35" s="36"/>
      <c r="E35" s="36"/>
      <c r="F35" s="36"/>
    </row>
    <row r="36" spans="1:6" ht="19.5" customHeight="1" x14ac:dyDescent="0.3">
      <c r="A36" s="1" t="s">
        <v>45</v>
      </c>
      <c r="B36" s="35" t="s">
        <v>46</v>
      </c>
      <c r="C36" s="35"/>
      <c r="D36" s="35"/>
      <c r="E36" s="35"/>
      <c r="F36" s="35"/>
    </row>
    <row r="37" spans="1:6" ht="19.5" customHeight="1" x14ac:dyDescent="0.3">
      <c r="A37" s="1" t="s">
        <v>47</v>
      </c>
      <c r="B37" s="35" t="s">
        <v>48</v>
      </c>
      <c r="C37" s="35"/>
      <c r="D37" s="35"/>
      <c r="E37" s="35"/>
      <c r="F37" s="35"/>
    </row>
    <row r="38" spans="1:6" ht="19.5" customHeight="1" x14ac:dyDescent="0.3">
      <c r="A38" s="1" t="s">
        <v>49</v>
      </c>
      <c r="B38" s="35" t="s">
        <v>50</v>
      </c>
      <c r="C38" s="35"/>
      <c r="D38" s="35"/>
      <c r="E38" s="35"/>
      <c r="F38" s="35"/>
    </row>
    <row r="39" spans="1:6" ht="19.5" customHeight="1" x14ac:dyDescent="0.3">
      <c r="A39" s="1"/>
      <c r="B39" s="35"/>
      <c r="C39" s="35"/>
      <c r="D39" s="35"/>
      <c r="E39" s="35"/>
      <c r="F39" s="35"/>
    </row>
    <row r="40" spans="1:6" ht="19.5" customHeight="1" x14ac:dyDescent="0.3">
      <c r="A40" s="1" t="s">
        <v>51</v>
      </c>
      <c r="B40" s="35" t="s">
        <v>52</v>
      </c>
      <c r="C40" s="35"/>
      <c r="D40" s="35"/>
      <c r="E40" s="35"/>
      <c r="F40" s="35"/>
    </row>
  </sheetData>
  <mergeCells count="40">
    <mergeCell ref="B36:F36"/>
    <mergeCell ref="B37:F37"/>
    <mergeCell ref="B38:F38"/>
    <mergeCell ref="B39:F39"/>
    <mergeCell ref="B40:F40"/>
    <mergeCell ref="B31:F31"/>
    <mergeCell ref="B32:F32"/>
    <mergeCell ref="B33:F33"/>
    <mergeCell ref="B34:F34"/>
    <mergeCell ref="A35:F35"/>
    <mergeCell ref="B26:F26"/>
    <mergeCell ref="B27:F27"/>
    <mergeCell ref="B28:F28"/>
    <mergeCell ref="B29:F29"/>
    <mergeCell ref="A30:F30"/>
    <mergeCell ref="B21:F21"/>
    <mergeCell ref="B22:F22"/>
    <mergeCell ref="B23:F23"/>
    <mergeCell ref="A24:F24"/>
    <mergeCell ref="B25:F25"/>
    <mergeCell ref="B16:F16"/>
    <mergeCell ref="A17:F17"/>
    <mergeCell ref="B18:F18"/>
    <mergeCell ref="B19:F19"/>
    <mergeCell ref="B20:F20"/>
    <mergeCell ref="B11:F11"/>
    <mergeCell ref="B12:F12"/>
    <mergeCell ref="B13:F13"/>
    <mergeCell ref="B14:F14"/>
    <mergeCell ref="B15:F15"/>
    <mergeCell ref="B6:F6"/>
    <mergeCell ref="B7:F7"/>
    <mergeCell ref="B8:F8"/>
    <mergeCell ref="A9:F9"/>
    <mergeCell ref="B10:F10"/>
    <mergeCell ref="A1:F1"/>
    <mergeCell ref="B2:F2"/>
    <mergeCell ref="A3:F3"/>
    <mergeCell ref="B4:F4"/>
    <mergeCell ref="B5:F5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83"/>
  <sheetViews>
    <sheetView showGridLines="0" tabSelected="1" zoomScaleNormal="100" workbookViewId="0">
      <pane xSplit="8" ySplit="6" topLeftCell="I68" activePane="bottomRight" state="frozen"/>
      <selection pane="topRight" activeCell="I1" sqref="I1"/>
      <selection pane="bottomLeft" activeCell="A7" sqref="A7"/>
      <selection pane="bottomRight" activeCell="H75" sqref="H75"/>
    </sheetView>
  </sheetViews>
  <sheetFormatPr defaultColWidth="8.6640625" defaultRowHeight="14.4" x14ac:dyDescent="0.3"/>
  <cols>
    <col min="1" max="1" width="34" customWidth="1"/>
    <col min="2" max="2" width="14" customWidth="1"/>
    <col min="3" max="4" width="12" customWidth="1"/>
    <col min="5" max="6" width="9" customWidth="1"/>
    <col min="7" max="7" width="13" customWidth="1"/>
    <col min="8" max="8" width="30" customWidth="1"/>
    <col min="9" max="38" width="5.5546875" customWidth="1"/>
  </cols>
  <sheetData>
    <row r="1" spans="1:38" ht="27.75" customHeight="1" x14ac:dyDescent="0.3">
      <c r="A1" s="21" t="s">
        <v>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38" ht="21.75" customHeight="1" x14ac:dyDescent="0.3">
      <c r="A2" s="2" t="s">
        <v>54</v>
      </c>
      <c r="B2" s="3">
        <v>46120</v>
      </c>
      <c r="C2" s="2" t="s">
        <v>55</v>
      </c>
      <c r="D2" s="4">
        <f ca="1">TODAY()</f>
        <v>46197</v>
      </c>
      <c r="F2" s="2" t="s">
        <v>56</v>
      </c>
      <c r="I2" s="22" t="s">
        <v>57</v>
      </c>
      <c r="J2" s="22"/>
      <c r="K2" s="23" t="s">
        <v>58</v>
      </c>
      <c r="L2" s="23"/>
      <c r="M2" s="24" t="s">
        <v>59</v>
      </c>
      <c r="N2" s="24"/>
      <c r="O2" s="25" t="s">
        <v>60</v>
      </c>
      <c r="P2" s="25"/>
      <c r="Q2" s="26" t="s">
        <v>61</v>
      </c>
      <c r="R2" s="26"/>
    </row>
    <row r="3" spans="1:38" ht="15.75" customHeight="1" x14ac:dyDescent="0.3">
      <c r="A3" s="34" t="s">
        <v>11</v>
      </c>
      <c r="B3" s="34"/>
      <c r="C3" s="24" t="s">
        <v>13</v>
      </c>
      <c r="D3" s="24"/>
      <c r="E3" s="23" t="s">
        <v>15</v>
      </c>
      <c r="F3" s="23"/>
      <c r="G3" s="22" t="s">
        <v>17</v>
      </c>
      <c r="H3" s="22"/>
      <c r="I3" s="25" t="s">
        <v>19</v>
      </c>
      <c r="J3" s="25"/>
      <c r="K3" s="25"/>
      <c r="L3" s="25"/>
      <c r="M3" s="27" t="s">
        <v>21</v>
      </c>
      <c r="N3" s="27"/>
      <c r="O3" s="27"/>
      <c r="P3" s="27"/>
      <c r="Q3" s="27"/>
    </row>
    <row r="4" spans="1:38" ht="27.75" customHeight="1" x14ac:dyDescent="0.3">
      <c r="A4" s="28">
        <f>COUNTA(C7:C83)</f>
        <v>58</v>
      </c>
      <c r="B4" s="28"/>
      <c r="C4" s="29">
        <f ca="1">COUNTIF(G7:G83,"Planned")</f>
        <v>10</v>
      </c>
      <c r="D4" s="29"/>
      <c r="E4" s="30">
        <f ca="1">COUNTIF(G7:G83,"In Progress")</f>
        <v>9</v>
      </c>
      <c r="F4" s="30"/>
      <c r="G4" s="31">
        <f ca="1">COUNTIF(G7:G83,"Done")</f>
        <v>32</v>
      </c>
      <c r="H4" s="31"/>
      <c r="I4" s="32">
        <f ca="1">COUNTIF(G7:G83,"Delayed")</f>
        <v>7</v>
      </c>
      <c r="J4" s="32"/>
      <c r="K4" s="32"/>
      <c r="L4" s="32"/>
      <c r="M4" s="33">
        <f>IFERROR(AVERAGEIF(C7:C83,"&lt;&gt;",F7:F83),0)</f>
        <v>0.67586206896551715</v>
      </c>
      <c r="N4" s="33"/>
      <c r="O4" s="33"/>
      <c r="P4" s="33"/>
      <c r="Q4" s="33"/>
    </row>
    <row r="5" spans="1:38" ht="30" customHeight="1" x14ac:dyDescent="0.3">
      <c r="A5" s="5" t="s">
        <v>62</v>
      </c>
      <c r="B5" s="5" t="s">
        <v>63</v>
      </c>
      <c r="C5" s="5" t="s">
        <v>64</v>
      </c>
      <c r="D5" s="5" t="s">
        <v>65</v>
      </c>
      <c r="E5" s="5" t="s">
        <v>66</v>
      </c>
      <c r="F5" s="5" t="s">
        <v>67</v>
      </c>
      <c r="G5" s="5" t="s">
        <v>68</v>
      </c>
      <c r="H5" s="5" t="s">
        <v>69</v>
      </c>
      <c r="I5" s="5" t="str">
        <f t="shared" ref="I5:AL5" si="0">"WK"&amp;TEXT(WEEKNUM(I6,2),"00")</f>
        <v>WK15</v>
      </c>
      <c r="J5" s="5" t="str">
        <f t="shared" si="0"/>
        <v>WK16</v>
      </c>
      <c r="K5" s="5" t="str">
        <f t="shared" si="0"/>
        <v>WK17</v>
      </c>
      <c r="L5" s="5" t="str">
        <f t="shared" si="0"/>
        <v>WK18</v>
      </c>
      <c r="M5" s="5" t="str">
        <f t="shared" si="0"/>
        <v>WK19</v>
      </c>
      <c r="N5" s="5" t="str">
        <f t="shared" si="0"/>
        <v>WK20</v>
      </c>
      <c r="O5" s="5" t="str">
        <f t="shared" si="0"/>
        <v>WK21</v>
      </c>
      <c r="P5" s="5" t="str">
        <f t="shared" si="0"/>
        <v>WK22</v>
      </c>
      <c r="Q5" s="5" t="str">
        <f t="shared" si="0"/>
        <v>WK23</v>
      </c>
      <c r="R5" s="5" t="str">
        <f t="shared" si="0"/>
        <v>WK24</v>
      </c>
      <c r="S5" s="5" t="str">
        <f t="shared" si="0"/>
        <v>WK25</v>
      </c>
      <c r="T5" s="5" t="str">
        <f t="shared" si="0"/>
        <v>WK26</v>
      </c>
      <c r="U5" s="5" t="str">
        <f t="shared" si="0"/>
        <v>WK27</v>
      </c>
      <c r="V5" s="5" t="str">
        <f t="shared" si="0"/>
        <v>WK28</v>
      </c>
      <c r="W5" s="5" t="str">
        <f t="shared" si="0"/>
        <v>WK29</v>
      </c>
      <c r="X5" s="5" t="str">
        <f t="shared" si="0"/>
        <v>WK30</v>
      </c>
      <c r="Y5" s="5" t="str">
        <f t="shared" si="0"/>
        <v>WK31</v>
      </c>
      <c r="Z5" s="5" t="str">
        <f t="shared" si="0"/>
        <v>WK32</v>
      </c>
      <c r="AA5" s="5" t="str">
        <f t="shared" si="0"/>
        <v>WK33</v>
      </c>
      <c r="AB5" s="5" t="str">
        <f t="shared" si="0"/>
        <v>WK34</v>
      </c>
      <c r="AC5" s="5" t="str">
        <f t="shared" si="0"/>
        <v>WK35</v>
      </c>
      <c r="AD5" s="5" t="str">
        <f t="shared" si="0"/>
        <v>WK36</v>
      </c>
      <c r="AE5" s="5" t="str">
        <f t="shared" si="0"/>
        <v>WK37</v>
      </c>
      <c r="AF5" s="5" t="str">
        <f t="shared" si="0"/>
        <v>WK38</v>
      </c>
      <c r="AG5" s="5" t="str">
        <f t="shared" si="0"/>
        <v>WK39</v>
      </c>
      <c r="AH5" s="5" t="str">
        <f t="shared" si="0"/>
        <v>WK40</v>
      </c>
      <c r="AI5" s="5" t="str">
        <f t="shared" si="0"/>
        <v>WK41</v>
      </c>
      <c r="AJ5" s="5" t="str">
        <f t="shared" si="0"/>
        <v>WK42</v>
      </c>
      <c r="AK5" s="5" t="str">
        <f t="shared" si="0"/>
        <v>WK43</v>
      </c>
      <c r="AL5" s="5" t="str">
        <f t="shared" si="0"/>
        <v>WK44</v>
      </c>
    </row>
    <row r="6" spans="1:38" ht="15.75" customHeight="1" x14ac:dyDescent="0.3">
      <c r="H6" s="6" t="s">
        <v>70</v>
      </c>
      <c r="I6" s="7">
        <f>B2</f>
        <v>46120</v>
      </c>
      <c r="J6" s="7">
        <f t="shared" ref="J6:AL6" si="1">I6+7</f>
        <v>46127</v>
      </c>
      <c r="K6" s="7">
        <f t="shared" si="1"/>
        <v>46134</v>
      </c>
      <c r="L6" s="7">
        <f t="shared" si="1"/>
        <v>46141</v>
      </c>
      <c r="M6" s="7">
        <f t="shared" si="1"/>
        <v>46148</v>
      </c>
      <c r="N6" s="7">
        <f t="shared" si="1"/>
        <v>46155</v>
      </c>
      <c r="O6" s="7">
        <f t="shared" si="1"/>
        <v>46162</v>
      </c>
      <c r="P6" s="7">
        <f t="shared" si="1"/>
        <v>46169</v>
      </c>
      <c r="Q6" s="7">
        <f t="shared" si="1"/>
        <v>46176</v>
      </c>
      <c r="R6" s="7">
        <f t="shared" si="1"/>
        <v>46183</v>
      </c>
      <c r="S6" s="7">
        <f t="shared" si="1"/>
        <v>46190</v>
      </c>
      <c r="T6" s="7">
        <f t="shared" si="1"/>
        <v>46197</v>
      </c>
      <c r="U6" s="7">
        <f t="shared" si="1"/>
        <v>46204</v>
      </c>
      <c r="V6" s="7">
        <f t="shared" si="1"/>
        <v>46211</v>
      </c>
      <c r="W6" s="7">
        <f t="shared" si="1"/>
        <v>46218</v>
      </c>
      <c r="X6" s="7">
        <f t="shared" si="1"/>
        <v>46225</v>
      </c>
      <c r="Y6" s="7">
        <f t="shared" si="1"/>
        <v>46232</v>
      </c>
      <c r="Z6" s="7">
        <f t="shared" si="1"/>
        <v>46239</v>
      </c>
      <c r="AA6" s="7">
        <f t="shared" si="1"/>
        <v>46246</v>
      </c>
      <c r="AB6" s="7">
        <f t="shared" si="1"/>
        <v>46253</v>
      </c>
      <c r="AC6" s="7">
        <f t="shared" si="1"/>
        <v>46260</v>
      </c>
      <c r="AD6" s="7">
        <f t="shared" si="1"/>
        <v>46267</v>
      </c>
      <c r="AE6" s="7">
        <f t="shared" si="1"/>
        <v>46274</v>
      </c>
      <c r="AF6" s="7">
        <f t="shared" si="1"/>
        <v>46281</v>
      </c>
      <c r="AG6" s="7">
        <f t="shared" si="1"/>
        <v>46288</v>
      </c>
      <c r="AH6" s="7">
        <f t="shared" si="1"/>
        <v>46295</v>
      </c>
      <c r="AI6" s="7">
        <f t="shared" si="1"/>
        <v>46302</v>
      </c>
      <c r="AJ6" s="7">
        <f t="shared" si="1"/>
        <v>46309</v>
      </c>
      <c r="AK6" s="7">
        <f t="shared" si="1"/>
        <v>46316</v>
      </c>
      <c r="AL6" s="7">
        <f t="shared" si="1"/>
        <v>46323</v>
      </c>
    </row>
    <row r="7" spans="1:38" ht="19.5" customHeight="1" x14ac:dyDescent="0.3">
      <c r="A7" s="14" t="s">
        <v>71</v>
      </c>
      <c r="B7" s="15"/>
      <c r="C7" s="16"/>
      <c r="D7" s="16"/>
      <c r="E7" s="17"/>
      <c r="F7" s="18"/>
      <c r="G7" s="19"/>
      <c r="H7" s="15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26.4" x14ac:dyDescent="0.3">
      <c r="A8" s="8" t="s">
        <v>95</v>
      </c>
      <c r="B8" s="8" t="s">
        <v>96</v>
      </c>
      <c r="C8" s="9">
        <v>46120</v>
      </c>
      <c r="D8" s="9">
        <v>46122</v>
      </c>
      <c r="E8" s="10">
        <f t="shared" ref="E8:E83" si="2">IF(OR(C8="",D8=""),"",D8-C8+1)</f>
        <v>3</v>
      </c>
      <c r="F8" s="11">
        <v>1</v>
      </c>
      <c r="G8" s="12" t="str">
        <f t="shared" ref="G8:G83" ca="1" si="3">IF(OR(C8="",D8=""),"",IF(F8&gt;=1,"Done",IF(AND(D8&lt;TODAY(),F8&lt;1),"Delayed",IF(F8&gt;0,"In Progress","Planned"))))</f>
        <v>Done</v>
      </c>
      <c r="H8" s="8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1:38" ht="26.4" x14ac:dyDescent="0.3">
      <c r="A9" s="8" t="s">
        <v>97</v>
      </c>
      <c r="B9" s="8" t="s">
        <v>96</v>
      </c>
      <c r="C9" s="9">
        <v>46120</v>
      </c>
      <c r="D9" s="9">
        <v>46122</v>
      </c>
      <c r="E9" s="10">
        <f t="shared" si="2"/>
        <v>3</v>
      </c>
      <c r="F9" s="11">
        <v>1</v>
      </c>
      <c r="G9" s="12" t="str">
        <f t="shared" ca="1" si="3"/>
        <v>Done</v>
      </c>
      <c r="H9" s="8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ht="19.5" customHeight="1" x14ac:dyDescent="0.3">
      <c r="A10" s="8" t="s">
        <v>98</v>
      </c>
      <c r="B10" s="8" t="s">
        <v>99</v>
      </c>
      <c r="C10" s="9">
        <v>46124</v>
      </c>
      <c r="D10" s="9">
        <v>46138</v>
      </c>
      <c r="E10" s="10">
        <f t="shared" si="2"/>
        <v>15</v>
      </c>
      <c r="F10" s="11">
        <v>1</v>
      </c>
      <c r="G10" s="12" t="str">
        <f t="shared" ca="1" si="3"/>
        <v>Done</v>
      </c>
      <c r="H10" s="8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9.5" customHeight="1" x14ac:dyDescent="0.3">
      <c r="A11" s="14" t="s">
        <v>100</v>
      </c>
      <c r="B11" s="15"/>
      <c r="C11" s="16"/>
      <c r="D11" s="16"/>
      <c r="E11" s="17"/>
      <c r="F11" s="18"/>
      <c r="G11" s="19"/>
      <c r="H11" s="15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9.5" customHeight="1" x14ac:dyDescent="0.3">
      <c r="A12" s="8" t="s">
        <v>101</v>
      </c>
      <c r="B12" s="8" t="s">
        <v>102</v>
      </c>
      <c r="C12" s="9">
        <v>46127</v>
      </c>
      <c r="D12" s="9">
        <v>46139</v>
      </c>
      <c r="E12" s="10">
        <f t="shared" si="2"/>
        <v>13</v>
      </c>
      <c r="F12" s="11">
        <v>1</v>
      </c>
      <c r="G12" s="12" t="str">
        <f t="shared" ca="1" si="3"/>
        <v>Done</v>
      </c>
      <c r="H12" s="8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9.5" customHeight="1" x14ac:dyDescent="0.3">
      <c r="A13" s="8" t="s">
        <v>103</v>
      </c>
      <c r="B13" s="8" t="s">
        <v>104</v>
      </c>
      <c r="C13" s="9">
        <v>46152</v>
      </c>
      <c r="D13" s="9">
        <v>46193</v>
      </c>
      <c r="E13" s="10">
        <f t="shared" si="2"/>
        <v>42</v>
      </c>
      <c r="F13" s="11">
        <v>1</v>
      </c>
      <c r="G13" s="12" t="str">
        <f t="shared" ca="1" si="3"/>
        <v>Done</v>
      </c>
      <c r="H13" s="8" t="s">
        <v>179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9.5" customHeight="1" x14ac:dyDescent="0.3">
      <c r="A14" s="8" t="s">
        <v>105</v>
      </c>
      <c r="B14" s="8" t="s">
        <v>106</v>
      </c>
      <c r="C14" s="9">
        <v>46127</v>
      </c>
      <c r="D14" s="9">
        <v>46139</v>
      </c>
      <c r="E14" s="10">
        <f t="shared" si="2"/>
        <v>13</v>
      </c>
      <c r="F14" s="11">
        <v>1</v>
      </c>
      <c r="G14" s="12" t="str">
        <f t="shared" ca="1" si="3"/>
        <v>Done</v>
      </c>
      <c r="H14" s="8" t="s">
        <v>180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9.5" customHeight="1" x14ac:dyDescent="0.3">
      <c r="A15" s="8" t="s">
        <v>107</v>
      </c>
      <c r="B15" s="8" t="s">
        <v>106</v>
      </c>
      <c r="C15" s="9">
        <v>46193</v>
      </c>
      <c r="D15" s="9">
        <v>46203</v>
      </c>
      <c r="E15" s="10">
        <f t="shared" si="2"/>
        <v>11</v>
      </c>
      <c r="F15" s="11">
        <v>0.5</v>
      </c>
      <c r="G15" s="12" t="str">
        <f t="shared" ca="1" si="3"/>
        <v>In Progress</v>
      </c>
      <c r="H15" s="8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9.5" customHeight="1" x14ac:dyDescent="0.3">
      <c r="A16" s="8" t="s">
        <v>108</v>
      </c>
      <c r="B16" s="8" t="s">
        <v>109</v>
      </c>
      <c r="C16" s="9">
        <v>46162</v>
      </c>
      <c r="D16" s="9">
        <v>46174</v>
      </c>
      <c r="E16" s="10">
        <f t="shared" si="2"/>
        <v>13</v>
      </c>
      <c r="F16" s="11">
        <v>1</v>
      </c>
      <c r="G16" s="12" t="str">
        <f t="shared" ca="1" si="3"/>
        <v>Done</v>
      </c>
      <c r="H16" s="8" t="s">
        <v>181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9.5" customHeight="1" x14ac:dyDescent="0.3">
      <c r="A17" s="8" t="s">
        <v>110</v>
      </c>
      <c r="B17" s="8" t="s">
        <v>109</v>
      </c>
      <c r="C17" s="9">
        <v>46193</v>
      </c>
      <c r="D17" s="9">
        <v>46203</v>
      </c>
      <c r="E17" s="10">
        <f t="shared" si="2"/>
        <v>11</v>
      </c>
      <c r="F17" s="11">
        <v>0.5</v>
      </c>
      <c r="G17" s="12" t="str">
        <f t="shared" ca="1" si="3"/>
        <v>In Progress</v>
      </c>
      <c r="H17" s="8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9.5" customHeight="1" x14ac:dyDescent="0.3">
      <c r="A18" s="8" t="s">
        <v>111</v>
      </c>
      <c r="B18" s="8" t="s">
        <v>109</v>
      </c>
      <c r="C18" s="9">
        <v>46198</v>
      </c>
      <c r="D18" s="9">
        <v>46213</v>
      </c>
      <c r="E18" s="10">
        <f t="shared" si="2"/>
        <v>16</v>
      </c>
      <c r="F18" s="11">
        <v>0.5</v>
      </c>
      <c r="G18" s="12" t="str">
        <f t="shared" ca="1" si="3"/>
        <v>In Progress</v>
      </c>
      <c r="H18" s="8" t="s">
        <v>182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ht="19.5" customHeight="1" x14ac:dyDescent="0.3">
      <c r="A19" s="8" t="s">
        <v>112</v>
      </c>
      <c r="B19" s="8" t="s">
        <v>109</v>
      </c>
      <c r="C19" s="9">
        <v>46214</v>
      </c>
      <c r="D19" s="9">
        <f>C19+130</f>
        <v>46344</v>
      </c>
      <c r="E19" s="10">
        <f t="shared" si="2"/>
        <v>131</v>
      </c>
      <c r="F19" s="11">
        <v>0</v>
      </c>
      <c r="G19" s="12" t="str">
        <f t="shared" ca="1" si="3"/>
        <v>Planned</v>
      </c>
      <c r="H19" s="8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9.5" customHeight="1" x14ac:dyDescent="0.3">
      <c r="A20" s="14" t="s">
        <v>149</v>
      </c>
      <c r="B20" s="15"/>
      <c r="C20" s="16"/>
      <c r="D20" s="16"/>
      <c r="E20" s="17"/>
      <c r="F20" s="18"/>
      <c r="G20" s="19"/>
      <c r="H20" s="15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9.5" customHeight="1" x14ac:dyDescent="0.3">
      <c r="A21" s="8" t="s">
        <v>113</v>
      </c>
      <c r="B21" s="8" t="s">
        <v>109</v>
      </c>
      <c r="C21" s="9">
        <v>46174</v>
      </c>
      <c r="D21" s="9">
        <v>46178</v>
      </c>
      <c r="E21" s="10">
        <f t="shared" si="2"/>
        <v>5</v>
      </c>
      <c r="F21" s="11">
        <v>1</v>
      </c>
      <c r="G21" s="12" t="str">
        <f t="shared" ca="1" si="3"/>
        <v>Done</v>
      </c>
      <c r="H21" s="8" t="s">
        <v>183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9.5" customHeight="1" x14ac:dyDescent="0.3">
      <c r="A22" s="8" t="s">
        <v>114</v>
      </c>
      <c r="B22" s="8" t="s">
        <v>115</v>
      </c>
      <c r="C22" s="9">
        <v>46174</v>
      </c>
      <c r="D22" s="9">
        <v>46178</v>
      </c>
      <c r="E22" s="10">
        <f t="shared" si="2"/>
        <v>5</v>
      </c>
      <c r="F22" s="11">
        <v>1</v>
      </c>
      <c r="G22" s="12" t="str">
        <f t="shared" ca="1" si="3"/>
        <v>Done</v>
      </c>
      <c r="H22" s="8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9.5" customHeight="1" x14ac:dyDescent="0.3">
      <c r="A23" s="8" t="s">
        <v>116</v>
      </c>
      <c r="B23" s="8" t="s">
        <v>109</v>
      </c>
      <c r="C23" s="9">
        <v>46174</v>
      </c>
      <c r="D23" s="9">
        <v>46188</v>
      </c>
      <c r="E23" s="10">
        <f t="shared" si="2"/>
        <v>15</v>
      </c>
      <c r="F23" s="11">
        <v>1</v>
      </c>
      <c r="G23" s="12" t="str">
        <f t="shared" ca="1" si="3"/>
        <v>Done</v>
      </c>
      <c r="H23" s="8" t="s">
        <v>184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9.5" customHeight="1" x14ac:dyDescent="0.3">
      <c r="A24" s="8" t="s">
        <v>117</v>
      </c>
      <c r="B24" s="8" t="s">
        <v>118</v>
      </c>
      <c r="C24" s="9">
        <v>46174</v>
      </c>
      <c r="D24" s="9">
        <v>46188</v>
      </c>
      <c r="E24" s="10">
        <f t="shared" si="2"/>
        <v>15</v>
      </c>
      <c r="F24" s="11">
        <v>1</v>
      </c>
      <c r="G24" s="12" t="str">
        <f t="shared" ca="1" si="3"/>
        <v>Done</v>
      </c>
      <c r="H24" s="8" t="s">
        <v>185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9.5" customHeight="1" x14ac:dyDescent="0.3">
      <c r="A25" s="8" t="s">
        <v>119</v>
      </c>
      <c r="B25" s="8" t="s">
        <v>109</v>
      </c>
      <c r="C25" s="9">
        <v>46174</v>
      </c>
      <c r="D25" s="9">
        <v>46188</v>
      </c>
      <c r="E25" s="10">
        <f t="shared" si="2"/>
        <v>15</v>
      </c>
      <c r="F25" s="11">
        <v>1</v>
      </c>
      <c r="G25" s="12" t="str">
        <f t="shared" ca="1" si="3"/>
        <v>Done</v>
      </c>
      <c r="H25" s="8" t="s">
        <v>186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9.5" customHeight="1" x14ac:dyDescent="0.3">
      <c r="A26" s="8" t="s">
        <v>120</v>
      </c>
      <c r="B26" s="8" t="s">
        <v>109</v>
      </c>
      <c r="C26" s="9">
        <v>46174</v>
      </c>
      <c r="D26" s="9">
        <v>46188</v>
      </c>
      <c r="E26" s="10">
        <f t="shared" si="2"/>
        <v>15</v>
      </c>
      <c r="F26" s="11">
        <v>0.8</v>
      </c>
      <c r="G26" s="12" t="str">
        <f t="shared" ca="1" si="3"/>
        <v>Delayed</v>
      </c>
      <c r="H26" s="8" t="s">
        <v>187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9.5" customHeight="1" x14ac:dyDescent="0.3">
      <c r="A27" s="8" t="s">
        <v>121</v>
      </c>
      <c r="B27" s="8" t="s">
        <v>122</v>
      </c>
      <c r="C27" s="9">
        <v>46174</v>
      </c>
      <c r="D27" s="9">
        <v>46188</v>
      </c>
      <c r="E27" s="10">
        <f t="shared" si="2"/>
        <v>15</v>
      </c>
      <c r="F27" s="11">
        <v>0.5</v>
      </c>
      <c r="G27" s="12" t="str">
        <f t="shared" ca="1" si="3"/>
        <v>Delayed</v>
      </c>
      <c r="H27" s="8" t="s">
        <v>188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9.5" customHeight="1" x14ac:dyDescent="0.3">
      <c r="A28" s="8" t="s">
        <v>123</v>
      </c>
      <c r="B28" s="8" t="s">
        <v>118</v>
      </c>
      <c r="C28" s="9">
        <v>46174</v>
      </c>
      <c r="D28" s="9">
        <v>46188</v>
      </c>
      <c r="E28" s="10">
        <f t="shared" si="2"/>
        <v>15</v>
      </c>
      <c r="F28" s="11">
        <v>0.5</v>
      </c>
      <c r="G28" s="12" t="str">
        <f t="shared" ca="1" si="3"/>
        <v>Delayed</v>
      </c>
      <c r="H28" s="8" t="s">
        <v>189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9.5" customHeight="1" x14ac:dyDescent="0.3">
      <c r="A29" s="8" t="s">
        <v>124</v>
      </c>
      <c r="B29" s="8" t="s">
        <v>109</v>
      </c>
      <c r="C29" s="9">
        <v>46183</v>
      </c>
      <c r="D29" s="9">
        <v>46195</v>
      </c>
      <c r="E29" s="10">
        <f t="shared" si="2"/>
        <v>13</v>
      </c>
      <c r="F29" s="11">
        <v>1</v>
      </c>
      <c r="G29" s="12" t="str">
        <f t="shared" ca="1" si="3"/>
        <v>Done</v>
      </c>
      <c r="H29" s="8" t="s">
        <v>190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9.5" customHeight="1" x14ac:dyDescent="0.3">
      <c r="A30" s="8" t="s">
        <v>125</v>
      </c>
      <c r="B30" s="8" t="s">
        <v>109</v>
      </c>
      <c r="C30" s="9">
        <v>46183</v>
      </c>
      <c r="D30" s="9">
        <v>46195</v>
      </c>
      <c r="E30" s="10">
        <f t="shared" si="2"/>
        <v>13</v>
      </c>
      <c r="F30" s="11">
        <v>1</v>
      </c>
      <c r="G30" s="12" t="str">
        <f t="shared" ca="1" si="3"/>
        <v>Done</v>
      </c>
      <c r="H30" s="8" t="s">
        <v>190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9.5" customHeight="1" x14ac:dyDescent="0.3">
      <c r="A31" s="8" t="s">
        <v>126</v>
      </c>
      <c r="B31" s="8" t="s">
        <v>127</v>
      </c>
      <c r="C31" s="9">
        <v>46183</v>
      </c>
      <c r="D31" s="9">
        <v>46195</v>
      </c>
      <c r="E31" s="10">
        <f t="shared" si="2"/>
        <v>13</v>
      </c>
      <c r="F31" s="11">
        <v>1</v>
      </c>
      <c r="G31" s="12" t="str">
        <f t="shared" ca="1" si="3"/>
        <v>Done</v>
      </c>
      <c r="H31" s="8" t="s">
        <v>190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9.5" customHeight="1" x14ac:dyDescent="0.3">
      <c r="A32" s="8" t="s">
        <v>128</v>
      </c>
      <c r="B32" s="8" t="s">
        <v>109</v>
      </c>
      <c r="C32" s="9">
        <v>46183</v>
      </c>
      <c r="D32" s="9">
        <v>46195</v>
      </c>
      <c r="E32" s="10">
        <f t="shared" si="2"/>
        <v>13</v>
      </c>
      <c r="F32" s="11">
        <v>1</v>
      </c>
      <c r="G32" s="12" t="str">
        <f t="shared" ca="1" si="3"/>
        <v>Done</v>
      </c>
      <c r="H32" s="8" t="s">
        <v>190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9.5" customHeight="1" x14ac:dyDescent="0.3">
      <c r="A33" s="8" t="s">
        <v>129</v>
      </c>
      <c r="B33" s="8" t="s">
        <v>130</v>
      </c>
      <c r="C33" s="9">
        <v>46183</v>
      </c>
      <c r="D33" s="9">
        <v>46195</v>
      </c>
      <c r="E33" s="10">
        <f t="shared" si="2"/>
        <v>13</v>
      </c>
      <c r="F33" s="11">
        <v>1</v>
      </c>
      <c r="G33" s="12" t="str">
        <f t="shared" ca="1" si="3"/>
        <v>Done</v>
      </c>
      <c r="H33" s="8" t="s">
        <v>190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9.5" customHeight="1" x14ac:dyDescent="0.3">
      <c r="A34" s="8" t="s">
        <v>131</v>
      </c>
      <c r="B34" s="8" t="s">
        <v>127</v>
      </c>
      <c r="C34" s="9">
        <v>46183</v>
      </c>
      <c r="D34" s="9">
        <v>46195</v>
      </c>
      <c r="E34" s="10">
        <f t="shared" si="2"/>
        <v>13</v>
      </c>
      <c r="F34" s="11">
        <v>1</v>
      </c>
      <c r="G34" s="12" t="str">
        <f t="shared" ca="1" si="3"/>
        <v>Done</v>
      </c>
      <c r="H34" s="8" t="s">
        <v>190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9.5" customHeight="1" x14ac:dyDescent="0.3">
      <c r="A35" s="8" t="s">
        <v>132</v>
      </c>
      <c r="B35" s="8" t="s">
        <v>109</v>
      </c>
      <c r="C35" s="9">
        <v>46183</v>
      </c>
      <c r="D35" s="9">
        <v>46195</v>
      </c>
      <c r="E35" s="10">
        <f t="shared" si="2"/>
        <v>13</v>
      </c>
      <c r="F35" s="11">
        <v>1</v>
      </c>
      <c r="G35" s="12" t="str">
        <f t="shared" ca="1" si="3"/>
        <v>Done</v>
      </c>
      <c r="H35" s="8" t="s">
        <v>191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9.5" customHeight="1" x14ac:dyDescent="0.3">
      <c r="A36" s="8" t="s">
        <v>133</v>
      </c>
      <c r="B36" s="8" t="s">
        <v>109</v>
      </c>
      <c r="C36" s="9">
        <v>46183</v>
      </c>
      <c r="D36" s="9">
        <v>46195</v>
      </c>
      <c r="E36" s="10">
        <f t="shared" si="2"/>
        <v>13</v>
      </c>
      <c r="F36" s="11">
        <v>1</v>
      </c>
      <c r="G36" s="12" t="str">
        <f t="shared" ca="1" si="3"/>
        <v>Done</v>
      </c>
      <c r="H36" s="8" t="s">
        <v>192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9.5" customHeight="1" x14ac:dyDescent="0.3">
      <c r="A37" s="8" t="s">
        <v>134</v>
      </c>
      <c r="B37" s="8" t="s">
        <v>106</v>
      </c>
      <c r="C37" s="9">
        <v>46183</v>
      </c>
      <c r="D37" s="9">
        <v>46195</v>
      </c>
      <c r="E37" s="10">
        <f t="shared" si="2"/>
        <v>13</v>
      </c>
      <c r="F37" s="11">
        <v>1</v>
      </c>
      <c r="G37" s="12" t="str">
        <f t="shared" ca="1" si="3"/>
        <v>Done</v>
      </c>
      <c r="H37" s="8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9.5" customHeight="1" x14ac:dyDescent="0.3">
      <c r="A38" s="8" t="s">
        <v>135</v>
      </c>
      <c r="B38" s="8" t="s">
        <v>106</v>
      </c>
      <c r="C38" s="9">
        <v>46183</v>
      </c>
      <c r="D38" s="9">
        <v>46195</v>
      </c>
      <c r="E38" s="10">
        <f t="shared" si="2"/>
        <v>13</v>
      </c>
      <c r="F38" s="11">
        <v>1</v>
      </c>
      <c r="G38" s="12" t="str">
        <f t="shared" ca="1" si="3"/>
        <v>Done</v>
      </c>
      <c r="H38" s="8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9.5" customHeight="1" x14ac:dyDescent="0.3">
      <c r="A39" s="8" t="s">
        <v>136</v>
      </c>
      <c r="B39" s="8" t="s">
        <v>122</v>
      </c>
      <c r="C39" s="9">
        <v>46183</v>
      </c>
      <c r="D39" s="9">
        <v>46195</v>
      </c>
      <c r="E39" s="10">
        <f t="shared" si="2"/>
        <v>13</v>
      </c>
      <c r="F39" s="11">
        <v>1</v>
      </c>
      <c r="G39" s="12" t="str">
        <f t="shared" ca="1" si="3"/>
        <v>Done</v>
      </c>
      <c r="H39" s="8" t="s">
        <v>193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9.5" customHeight="1" x14ac:dyDescent="0.3">
      <c r="A40" s="8" t="s">
        <v>137</v>
      </c>
      <c r="B40" s="8" t="s">
        <v>130</v>
      </c>
      <c r="C40" s="9">
        <v>46183</v>
      </c>
      <c r="D40" s="9">
        <v>46195</v>
      </c>
      <c r="E40" s="10">
        <f t="shared" si="2"/>
        <v>13</v>
      </c>
      <c r="F40" s="11">
        <v>1</v>
      </c>
      <c r="G40" s="12" t="str">
        <f t="shared" ca="1" si="3"/>
        <v>Done</v>
      </c>
      <c r="H40" s="8" t="s">
        <v>194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ht="19.5" customHeight="1" x14ac:dyDescent="0.3">
      <c r="A41" s="8" t="s">
        <v>138</v>
      </c>
      <c r="B41" s="8" t="s">
        <v>109</v>
      </c>
      <c r="C41" s="9">
        <v>46183</v>
      </c>
      <c r="D41" s="9">
        <v>46195</v>
      </c>
      <c r="E41" s="10">
        <f t="shared" si="2"/>
        <v>13</v>
      </c>
      <c r="F41" s="11">
        <v>1</v>
      </c>
      <c r="G41" s="12" t="str">
        <f t="shared" ca="1" si="3"/>
        <v>Done</v>
      </c>
      <c r="H41" s="8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ht="19.5" customHeight="1" x14ac:dyDescent="0.3">
      <c r="A42" s="8" t="s">
        <v>139</v>
      </c>
      <c r="B42" s="8" t="s">
        <v>109</v>
      </c>
      <c r="C42" s="9">
        <v>46183</v>
      </c>
      <c r="D42" s="9">
        <v>46195</v>
      </c>
      <c r="E42" s="10">
        <f t="shared" si="2"/>
        <v>13</v>
      </c>
      <c r="F42" s="11">
        <v>1</v>
      </c>
      <c r="G42" s="12" t="str">
        <f t="shared" ca="1" si="3"/>
        <v>Done</v>
      </c>
      <c r="H42" s="8" t="s">
        <v>195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ht="19.5" customHeight="1" x14ac:dyDescent="0.3">
      <c r="A43" s="8" t="s">
        <v>140</v>
      </c>
      <c r="B43" s="8" t="s">
        <v>141</v>
      </c>
      <c r="C43" s="9">
        <v>46183</v>
      </c>
      <c r="D43" s="9">
        <v>46195</v>
      </c>
      <c r="E43" s="10">
        <f t="shared" si="2"/>
        <v>13</v>
      </c>
      <c r="F43" s="11">
        <v>0.3</v>
      </c>
      <c r="G43" s="12" t="str">
        <f t="shared" ca="1" si="3"/>
        <v>Delayed</v>
      </c>
      <c r="H43" s="8" t="s">
        <v>196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ht="19.5" customHeight="1" x14ac:dyDescent="0.3">
      <c r="A44" s="8" t="s">
        <v>142</v>
      </c>
      <c r="B44" s="8" t="s">
        <v>109</v>
      </c>
      <c r="C44" s="9">
        <v>46183</v>
      </c>
      <c r="D44" s="9">
        <v>46195</v>
      </c>
      <c r="E44" s="10">
        <f t="shared" si="2"/>
        <v>13</v>
      </c>
      <c r="F44" s="11">
        <v>1</v>
      </c>
      <c r="G44" s="12" t="str">
        <f t="shared" ca="1" si="3"/>
        <v>Done</v>
      </c>
      <c r="H44" s="8" t="s">
        <v>197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ht="19.5" customHeight="1" x14ac:dyDescent="0.3">
      <c r="A45" s="8" t="s">
        <v>143</v>
      </c>
      <c r="B45" s="8" t="s">
        <v>109</v>
      </c>
      <c r="C45" s="9">
        <v>46183</v>
      </c>
      <c r="D45" s="9">
        <v>46195</v>
      </c>
      <c r="E45" s="10">
        <f t="shared" si="2"/>
        <v>13</v>
      </c>
      <c r="F45" s="11">
        <v>1</v>
      </c>
      <c r="G45" s="12" t="str">
        <f t="shared" ca="1" si="3"/>
        <v>Done</v>
      </c>
      <c r="H45" s="8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ht="19.5" customHeight="1" x14ac:dyDescent="0.3">
      <c r="A46" s="8" t="s">
        <v>144</v>
      </c>
      <c r="B46" s="8" t="s">
        <v>106</v>
      </c>
      <c r="C46" s="9">
        <v>46183</v>
      </c>
      <c r="D46" s="9">
        <v>46195</v>
      </c>
      <c r="E46" s="10">
        <f t="shared" si="2"/>
        <v>13</v>
      </c>
      <c r="F46" s="11">
        <v>0</v>
      </c>
      <c r="G46" s="12" t="str">
        <f t="shared" ca="1" si="3"/>
        <v>Delayed</v>
      </c>
      <c r="H46" s="8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spans="1:38" ht="19.5" customHeight="1" x14ac:dyDescent="0.3">
      <c r="A47" s="8" t="s">
        <v>145</v>
      </c>
      <c r="B47" s="8" t="s">
        <v>109</v>
      </c>
      <c r="C47" s="9">
        <v>46183</v>
      </c>
      <c r="D47" s="9">
        <v>46195</v>
      </c>
      <c r="E47" s="10">
        <f t="shared" si="2"/>
        <v>13</v>
      </c>
      <c r="F47" s="11">
        <v>1</v>
      </c>
      <c r="G47" s="12" t="str">
        <f t="shared" ca="1" si="3"/>
        <v>Done</v>
      </c>
      <c r="H47" s="8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spans="1:38" ht="19.5" customHeight="1" x14ac:dyDescent="0.3">
      <c r="A48" s="8" t="s">
        <v>146</v>
      </c>
      <c r="B48" s="8" t="s">
        <v>109</v>
      </c>
      <c r="C48" s="9">
        <v>46183</v>
      </c>
      <c r="D48" s="9">
        <v>46195</v>
      </c>
      <c r="E48" s="10">
        <f t="shared" si="2"/>
        <v>13</v>
      </c>
      <c r="F48" s="11">
        <v>0.5</v>
      </c>
      <c r="G48" s="12" t="str">
        <f t="shared" ca="1" si="3"/>
        <v>Delayed</v>
      </c>
      <c r="H48" s="8" t="s">
        <v>198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 spans="1:38" ht="19.5" customHeight="1" x14ac:dyDescent="0.3">
      <c r="A49" s="8" t="s">
        <v>147</v>
      </c>
      <c r="B49" s="8" t="s">
        <v>148</v>
      </c>
      <c r="C49" s="9">
        <v>46183</v>
      </c>
      <c r="D49" s="9">
        <v>46195</v>
      </c>
      <c r="E49" s="10">
        <f t="shared" si="2"/>
        <v>13</v>
      </c>
      <c r="F49" s="11">
        <v>0</v>
      </c>
      <c r="G49" s="12" t="str">
        <f t="shared" ca="1" si="3"/>
        <v>Delayed</v>
      </c>
      <c r="H49" s="8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1:38" ht="19.5" customHeight="1" x14ac:dyDescent="0.3">
      <c r="A50" s="14" t="s">
        <v>150</v>
      </c>
      <c r="B50" s="15"/>
      <c r="C50" s="16"/>
      <c r="D50" s="16"/>
      <c r="E50" s="17"/>
      <c r="F50" s="18"/>
      <c r="G50" s="19"/>
      <c r="H50" s="15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9.5" customHeight="1" x14ac:dyDescent="0.3">
      <c r="A51" s="8" t="s">
        <v>151</v>
      </c>
      <c r="B51" s="8" t="s">
        <v>152</v>
      </c>
      <c r="C51" s="9">
        <v>46183</v>
      </c>
      <c r="D51" s="9">
        <v>46203</v>
      </c>
      <c r="E51" s="10">
        <f t="shared" si="2"/>
        <v>21</v>
      </c>
      <c r="F51" s="11">
        <v>0.5</v>
      </c>
      <c r="G51" s="12" t="str">
        <f t="shared" ca="1" si="3"/>
        <v>In Progress</v>
      </c>
      <c r="H51" s="8" t="s">
        <v>199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 spans="1:38" ht="19.5" customHeight="1" x14ac:dyDescent="0.3">
      <c r="A52" s="8" t="s">
        <v>153</v>
      </c>
      <c r="B52" s="8" t="s">
        <v>109</v>
      </c>
      <c r="C52" s="9">
        <v>46193</v>
      </c>
      <c r="D52" s="9">
        <v>46196</v>
      </c>
      <c r="E52" s="10">
        <f t="shared" si="2"/>
        <v>4</v>
      </c>
      <c r="F52" s="11">
        <v>1</v>
      </c>
      <c r="G52" s="12" t="str">
        <f t="shared" ca="1" si="3"/>
        <v>Done</v>
      </c>
      <c r="H52" s="8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 spans="1:38" ht="19.5" customHeight="1" x14ac:dyDescent="0.3">
      <c r="A53" s="8" t="s">
        <v>154</v>
      </c>
      <c r="B53" s="8" t="s">
        <v>155</v>
      </c>
      <c r="C53" s="9">
        <v>46183</v>
      </c>
      <c r="D53" s="9">
        <v>46203</v>
      </c>
      <c r="E53" s="10">
        <f t="shared" si="2"/>
        <v>21</v>
      </c>
      <c r="F53" s="11">
        <v>0.5</v>
      </c>
      <c r="G53" s="12" t="str">
        <f t="shared" ca="1" si="3"/>
        <v>In Progress</v>
      </c>
      <c r="H53" s="8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 spans="1:38" ht="19.5" customHeight="1" x14ac:dyDescent="0.3">
      <c r="A54" s="8" t="s">
        <v>156</v>
      </c>
      <c r="B54" s="8" t="s">
        <v>118</v>
      </c>
      <c r="C54" s="9">
        <v>46174</v>
      </c>
      <c r="D54" s="9">
        <v>46203</v>
      </c>
      <c r="E54" s="10">
        <f t="shared" si="2"/>
        <v>30</v>
      </c>
      <c r="F54" s="11">
        <v>0.8</v>
      </c>
      <c r="G54" s="12" t="str">
        <f t="shared" ca="1" si="3"/>
        <v>In Progress</v>
      </c>
      <c r="H54" s="8" t="s">
        <v>200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 spans="1:38" ht="19.5" customHeight="1" x14ac:dyDescent="0.3">
      <c r="A55" s="8" t="s">
        <v>157</v>
      </c>
      <c r="B55" s="8" t="s">
        <v>118</v>
      </c>
      <c r="C55" s="9">
        <v>46174</v>
      </c>
      <c r="D55" s="9">
        <v>46203</v>
      </c>
      <c r="E55" s="10">
        <f t="shared" si="2"/>
        <v>30</v>
      </c>
      <c r="F55" s="11">
        <v>0.8</v>
      </c>
      <c r="G55" s="12" t="str">
        <f t="shared" ca="1" si="3"/>
        <v>In Progress</v>
      </c>
      <c r="H55" s="8" t="s">
        <v>200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 spans="1:38" ht="19.5" customHeight="1" x14ac:dyDescent="0.3">
      <c r="A56" s="8" t="s">
        <v>158</v>
      </c>
      <c r="B56" s="8" t="s">
        <v>109</v>
      </c>
      <c r="C56" s="9">
        <v>46188</v>
      </c>
      <c r="D56" s="9">
        <v>46193</v>
      </c>
      <c r="E56" s="10">
        <f t="shared" si="2"/>
        <v>6</v>
      </c>
      <c r="F56" s="11">
        <v>1</v>
      </c>
      <c r="G56" s="12" t="str">
        <f t="shared" ca="1" si="3"/>
        <v>Done</v>
      </c>
      <c r="H56" s="8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 spans="1:38" ht="19.5" customHeight="1" x14ac:dyDescent="0.3">
      <c r="A57" s="8" t="s">
        <v>159</v>
      </c>
      <c r="B57" s="8" t="s">
        <v>109</v>
      </c>
      <c r="C57" s="9">
        <v>46188</v>
      </c>
      <c r="D57" s="9">
        <v>46193</v>
      </c>
      <c r="E57" s="10">
        <f t="shared" si="2"/>
        <v>6</v>
      </c>
      <c r="F57" s="11">
        <v>1</v>
      </c>
      <c r="G57" s="12" t="str">
        <f t="shared" ca="1" si="3"/>
        <v>Done</v>
      </c>
      <c r="H57" s="8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 spans="1:38" ht="19.5" customHeight="1" x14ac:dyDescent="0.3">
      <c r="A58" s="14" t="s">
        <v>201</v>
      </c>
      <c r="B58" s="15"/>
      <c r="C58" s="16"/>
      <c r="D58" s="16"/>
      <c r="E58" s="17"/>
      <c r="F58" s="18"/>
      <c r="G58" s="19"/>
      <c r="H58" s="15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26.4" x14ac:dyDescent="0.3">
      <c r="A59" s="8" t="s">
        <v>168</v>
      </c>
      <c r="B59" s="8" t="s">
        <v>160</v>
      </c>
      <c r="C59" s="9">
        <v>46196</v>
      </c>
      <c r="D59" s="9">
        <v>46199</v>
      </c>
      <c r="E59" s="10">
        <f t="shared" si="2"/>
        <v>4</v>
      </c>
      <c r="F59" s="11">
        <v>0</v>
      </c>
      <c r="G59" s="12" t="str">
        <f t="shared" ca="1" si="3"/>
        <v>Planned</v>
      </c>
      <c r="H59" s="8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 spans="1:38" ht="19.5" customHeight="1" x14ac:dyDescent="0.3">
      <c r="A60" s="8" t="s">
        <v>161</v>
      </c>
      <c r="B60" s="8" t="s">
        <v>162</v>
      </c>
      <c r="C60" s="9">
        <v>46197</v>
      </c>
      <c r="D60" s="9">
        <v>46199</v>
      </c>
      <c r="E60" s="10">
        <f t="shared" si="2"/>
        <v>3</v>
      </c>
      <c r="F60" s="11">
        <v>0.3</v>
      </c>
      <c r="G60" s="12" t="str">
        <f t="shared" ca="1" si="3"/>
        <v>In Progress</v>
      </c>
      <c r="H60" s="8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  <row r="61" spans="1:38" ht="19.5" customHeight="1" x14ac:dyDescent="0.3">
      <c r="A61" s="8" t="s">
        <v>163</v>
      </c>
      <c r="B61" s="8" t="s">
        <v>91</v>
      </c>
      <c r="C61" s="9">
        <v>46202</v>
      </c>
      <c r="D61" s="9">
        <v>46205</v>
      </c>
      <c r="E61" s="10">
        <f t="shared" si="2"/>
        <v>4</v>
      </c>
      <c r="F61" s="11">
        <v>0</v>
      </c>
      <c r="G61" s="12" t="str">
        <f t="shared" ca="1" si="3"/>
        <v>Planned</v>
      </c>
      <c r="H61" s="8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spans="1:38" ht="19.5" customHeight="1" x14ac:dyDescent="0.3">
      <c r="A62" s="8" t="s">
        <v>166</v>
      </c>
      <c r="B62" s="8" t="s">
        <v>130</v>
      </c>
      <c r="C62" s="9">
        <v>46195</v>
      </c>
      <c r="D62" s="9">
        <v>46207</v>
      </c>
      <c r="E62" s="10">
        <f t="shared" si="2"/>
        <v>13</v>
      </c>
      <c r="F62" s="11">
        <v>0.2</v>
      </c>
      <c r="G62" s="12" t="str">
        <f t="shared" ca="1" si="3"/>
        <v>In Progress</v>
      </c>
      <c r="H62" s="8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 spans="1:38" ht="19.5" customHeight="1" x14ac:dyDescent="0.3">
      <c r="A63" s="8" t="s">
        <v>164</v>
      </c>
      <c r="B63" s="8" t="s">
        <v>165</v>
      </c>
      <c r="C63" s="9">
        <v>46203</v>
      </c>
      <c r="D63" s="9">
        <v>46205</v>
      </c>
      <c r="E63" s="10">
        <f t="shared" si="2"/>
        <v>3</v>
      </c>
      <c r="F63" s="11">
        <v>0</v>
      </c>
      <c r="G63" s="12" t="str">
        <f t="shared" ca="1" si="3"/>
        <v>Planned</v>
      </c>
      <c r="H63" s="8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</row>
    <row r="64" spans="1:38" ht="19.5" customHeight="1" x14ac:dyDescent="0.3">
      <c r="A64" s="8" t="s">
        <v>167</v>
      </c>
      <c r="B64" s="8" t="s">
        <v>73</v>
      </c>
      <c r="C64" s="9">
        <v>46202</v>
      </c>
      <c r="D64" s="9">
        <v>46205</v>
      </c>
      <c r="E64" s="10">
        <f t="shared" si="2"/>
        <v>4</v>
      </c>
      <c r="F64" s="11">
        <v>0</v>
      </c>
      <c r="G64" s="12" t="str">
        <f t="shared" ca="1" si="3"/>
        <v>Planned</v>
      </c>
      <c r="H64" s="8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 spans="1:38" ht="19.5" customHeight="1" x14ac:dyDescent="0.3">
      <c r="A65" s="14" t="s">
        <v>169</v>
      </c>
      <c r="B65" s="15"/>
      <c r="C65" s="16"/>
      <c r="D65" s="16"/>
      <c r="E65" s="17"/>
      <c r="F65" s="18"/>
      <c r="G65" s="19"/>
      <c r="H65" s="15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9.5" customHeight="1" x14ac:dyDescent="0.3">
      <c r="A66" s="8" t="s">
        <v>170</v>
      </c>
      <c r="B66" s="8" t="s">
        <v>171</v>
      </c>
      <c r="C66" s="9">
        <v>46204</v>
      </c>
      <c r="D66" s="9">
        <v>46204</v>
      </c>
      <c r="E66" s="10">
        <f t="shared" si="2"/>
        <v>1</v>
      </c>
      <c r="F66" s="11">
        <v>0</v>
      </c>
      <c r="G66" s="12" t="str">
        <f t="shared" ca="1" si="3"/>
        <v>Planned</v>
      </c>
      <c r="H66" s="8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 spans="1:38" ht="19.5" customHeight="1" x14ac:dyDescent="0.3">
      <c r="A67" s="8" t="s">
        <v>172</v>
      </c>
      <c r="B67" s="8" t="s">
        <v>173</v>
      </c>
      <c r="C67" s="9">
        <v>46204</v>
      </c>
      <c r="D67" s="9">
        <v>46204</v>
      </c>
      <c r="E67" s="10">
        <f t="shared" si="2"/>
        <v>1</v>
      </c>
      <c r="F67" s="11">
        <v>0</v>
      </c>
      <c r="G67" s="12" t="str">
        <f t="shared" ca="1" si="3"/>
        <v>Planned</v>
      </c>
      <c r="H67" s="8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spans="1:38" ht="19.5" customHeight="1" x14ac:dyDescent="0.3">
      <c r="A68" s="8" t="s">
        <v>174</v>
      </c>
      <c r="B68" s="8" t="s">
        <v>109</v>
      </c>
      <c r="C68" s="9">
        <v>46204</v>
      </c>
      <c r="D68" s="9">
        <v>46204</v>
      </c>
      <c r="E68" s="10">
        <f t="shared" si="2"/>
        <v>1</v>
      </c>
      <c r="F68" s="11">
        <v>0</v>
      </c>
      <c r="G68" s="12" t="str">
        <f t="shared" ca="1" si="3"/>
        <v>Planned</v>
      </c>
      <c r="H68" s="8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 spans="1:38" ht="19.5" customHeight="1" x14ac:dyDescent="0.3">
      <c r="A69" s="8" t="s">
        <v>175</v>
      </c>
      <c r="B69" s="8" t="s">
        <v>73</v>
      </c>
      <c r="C69" s="9">
        <v>46213</v>
      </c>
      <c r="D69" s="9">
        <v>46217</v>
      </c>
      <c r="E69" s="10">
        <f t="shared" si="2"/>
        <v>5</v>
      </c>
      <c r="F69" s="11">
        <v>0</v>
      </c>
      <c r="G69" s="12" t="str">
        <f t="shared" ca="1" si="3"/>
        <v>Planned</v>
      </c>
      <c r="H69" s="8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 spans="1:38" ht="19.5" customHeight="1" x14ac:dyDescent="0.3">
      <c r="A70" s="8" t="s">
        <v>176</v>
      </c>
      <c r="B70" s="8" t="s">
        <v>73</v>
      </c>
      <c r="C70" s="9">
        <v>46213</v>
      </c>
      <c r="D70" s="9">
        <v>46217</v>
      </c>
      <c r="E70" s="10">
        <f t="shared" si="2"/>
        <v>5</v>
      </c>
      <c r="F70" s="11">
        <v>0</v>
      </c>
      <c r="G70" s="12" t="str">
        <f t="shared" ca="1" si="3"/>
        <v>Planned</v>
      </c>
      <c r="H70" s="8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 spans="1:38" ht="19.5" customHeight="1" x14ac:dyDescent="0.3">
      <c r="A71" s="14" t="s">
        <v>177</v>
      </c>
      <c r="B71" s="15" t="s">
        <v>178</v>
      </c>
      <c r="C71" s="16"/>
      <c r="D71" s="16"/>
      <c r="E71" s="17" t="str">
        <f t="shared" si="2"/>
        <v/>
      </c>
      <c r="F71" s="18"/>
      <c r="G71" s="19" t="str">
        <f t="shared" ca="1" si="3"/>
        <v/>
      </c>
      <c r="H71" s="15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9.5" customHeight="1" x14ac:dyDescent="0.3">
      <c r="A72" s="8"/>
      <c r="B72" s="8"/>
      <c r="C72" s="9"/>
      <c r="D72" s="9"/>
      <c r="E72" s="10" t="str">
        <f t="shared" si="2"/>
        <v/>
      </c>
      <c r="F72" s="11"/>
      <c r="G72" s="12" t="str">
        <f t="shared" ca="1" si="3"/>
        <v/>
      </c>
      <c r="H72" s="8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 spans="1:38" ht="19.5" customHeight="1" x14ac:dyDescent="0.3">
      <c r="A73" s="8"/>
      <c r="B73" s="8"/>
      <c r="C73" s="9"/>
      <c r="D73" s="9"/>
      <c r="E73" s="10" t="str">
        <f t="shared" si="2"/>
        <v/>
      </c>
      <c r="F73" s="11"/>
      <c r="G73" s="12" t="str">
        <f t="shared" ca="1" si="3"/>
        <v/>
      </c>
      <c r="H73" s="8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spans="1:38" ht="19.5" customHeight="1" x14ac:dyDescent="0.3">
      <c r="A74" s="8"/>
      <c r="B74" s="8"/>
      <c r="C74" s="9"/>
      <c r="D74" s="9"/>
      <c r="E74" s="10" t="str">
        <f t="shared" si="2"/>
        <v/>
      </c>
      <c r="F74" s="11"/>
      <c r="G74" s="12" t="str">
        <f t="shared" ca="1" si="3"/>
        <v/>
      </c>
      <c r="H74" s="8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 spans="1:38" ht="19.5" customHeight="1" x14ac:dyDescent="0.3">
      <c r="A75" s="8"/>
      <c r="B75" s="8"/>
      <c r="C75" s="9"/>
      <c r="D75" s="9"/>
      <c r="E75" s="10" t="str">
        <f t="shared" si="2"/>
        <v/>
      </c>
      <c r="F75" s="11"/>
      <c r="G75" s="12" t="str">
        <f t="shared" ca="1" si="3"/>
        <v/>
      </c>
      <c r="H75" s="8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 spans="1:38" ht="19.5" customHeight="1" x14ac:dyDescent="0.3">
      <c r="A76" s="8"/>
      <c r="B76" s="8"/>
      <c r="C76" s="9"/>
      <c r="D76" s="9"/>
      <c r="E76" s="10" t="str">
        <f t="shared" si="2"/>
        <v/>
      </c>
      <c r="F76" s="11"/>
      <c r="G76" s="12" t="str">
        <f t="shared" ca="1" si="3"/>
        <v/>
      </c>
      <c r="H76" s="8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spans="1:38" ht="19.5" customHeight="1" x14ac:dyDescent="0.3">
      <c r="A77" s="8"/>
      <c r="B77" s="8"/>
      <c r="C77" s="9"/>
      <c r="D77" s="9"/>
      <c r="E77" s="10" t="str">
        <f t="shared" si="2"/>
        <v/>
      </c>
      <c r="F77" s="11"/>
      <c r="G77" s="12" t="str">
        <f t="shared" ca="1" si="3"/>
        <v/>
      </c>
      <c r="H77" s="8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 spans="1:38" ht="19.5" customHeight="1" x14ac:dyDescent="0.3">
      <c r="A78" s="8"/>
      <c r="B78" s="8"/>
      <c r="C78" s="9"/>
      <c r="D78" s="9"/>
      <c r="E78" s="10" t="str">
        <f t="shared" si="2"/>
        <v/>
      </c>
      <c r="F78" s="11"/>
      <c r="G78" s="12" t="str">
        <f t="shared" ca="1" si="3"/>
        <v/>
      </c>
      <c r="H78" s="8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1:38" ht="19.5" customHeight="1" x14ac:dyDescent="0.3">
      <c r="A79" s="8"/>
      <c r="B79" s="8"/>
      <c r="C79" s="9"/>
      <c r="D79" s="9"/>
      <c r="E79" s="10" t="str">
        <f t="shared" si="2"/>
        <v/>
      </c>
      <c r="F79" s="11"/>
      <c r="G79" s="12" t="str">
        <f t="shared" ca="1" si="3"/>
        <v/>
      </c>
      <c r="H79" s="8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 spans="1:38" ht="19.5" customHeight="1" x14ac:dyDescent="0.3">
      <c r="A80" s="8"/>
      <c r="B80" s="8"/>
      <c r="C80" s="9"/>
      <c r="D80" s="9"/>
      <c r="E80" s="10" t="str">
        <f t="shared" si="2"/>
        <v/>
      </c>
      <c r="F80" s="11"/>
      <c r="G80" s="12" t="str">
        <f t="shared" ca="1" si="3"/>
        <v/>
      </c>
      <c r="H80" s="8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spans="1:38" ht="19.5" customHeight="1" x14ac:dyDescent="0.3">
      <c r="A81" s="8"/>
      <c r="B81" s="8"/>
      <c r="C81" s="9"/>
      <c r="D81" s="9"/>
      <c r="E81" s="10" t="str">
        <f t="shared" si="2"/>
        <v/>
      </c>
      <c r="F81" s="11"/>
      <c r="G81" s="12" t="str">
        <f t="shared" ca="1" si="3"/>
        <v/>
      </c>
      <c r="H81" s="8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  <row r="82" spans="1:38" ht="19.5" customHeight="1" x14ac:dyDescent="0.3">
      <c r="A82" s="8"/>
      <c r="B82" s="8"/>
      <c r="C82" s="9"/>
      <c r="D82" s="9"/>
      <c r="E82" s="10" t="str">
        <f t="shared" si="2"/>
        <v/>
      </c>
      <c r="F82" s="11"/>
      <c r="G82" s="12" t="str">
        <f t="shared" ca="1" si="3"/>
        <v/>
      </c>
      <c r="H82" s="8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 spans="1:38" ht="19.5" customHeight="1" x14ac:dyDescent="0.3">
      <c r="A83" s="8"/>
      <c r="B83" s="8"/>
      <c r="C83" s="9"/>
      <c r="D83" s="9"/>
      <c r="E83" s="10" t="str">
        <f t="shared" si="2"/>
        <v/>
      </c>
      <c r="F83" s="11"/>
      <c r="G83" s="12" t="str">
        <f t="shared" ca="1" si="3"/>
        <v/>
      </c>
      <c r="H83" s="8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</sheetData>
  <autoFilter ref="A5:H83" xr:uid="{00000000-0001-0000-0100-000000000000}"/>
  <mergeCells count="18">
    <mergeCell ref="M3:Q3"/>
    <mergeCell ref="A4:B4"/>
    <mergeCell ref="C4:D4"/>
    <mergeCell ref="E4:F4"/>
    <mergeCell ref="G4:H4"/>
    <mergeCell ref="I4:L4"/>
    <mergeCell ref="M4:Q4"/>
    <mergeCell ref="A3:B3"/>
    <mergeCell ref="C3:D3"/>
    <mergeCell ref="E3:F3"/>
    <mergeCell ref="G3:H3"/>
    <mergeCell ref="I3:L3"/>
    <mergeCell ref="A1:AL1"/>
    <mergeCell ref="I2:J2"/>
    <mergeCell ref="K2:L2"/>
    <mergeCell ref="M2:N2"/>
    <mergeCell ref="O2:P2"/>
    <mergeCell ref="Q2:R2"/>
  </mergeCells>
  <conditionalFormatting sqref="F7">
    <cfRule type="dataBar" priority="47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{52ED253C-1931-4260-97A8-21D5FB1CD60A}</x14:id>
        </ext>
      </extLst>
    </cfRule>
  </conditionalFormatting>
  <conditionalFormatting sqref="F8:F10 F21:F49 F59:F64 F12:F19 F51:F57 F66:F70 F72:F83">
    <cfRule type="dataBar" priority="58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{5728795B-8474-4AB5-9AD1-B08EB2BF70DE}</x14:id>
        </ext>
      </extLst>
    </cfRule>
  </conditionalFormatting>
  <conditionalFormatting sqref="F11">
    <cfRule type="dataBar" priority="20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{62BED95F-7876-4EC8-86A1-4ED16BDF0EE5}</x14:id>
        </ext>
      </extLst>
    </cfRule>
  </conditionalFormatting>
  <conditionalFormatting sqref="F20">
    <cfRule type="dataBar" priority="38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{3FC9FDF6-AB05-409E-9504-A1CDF6B4053A}</x14:id>
        </ext>
      </extLst>
    </cfRule>
  </conditionalFormatting>
  <conditionalFormatting sqref="F50">
    <cfRule type="dataBar" priority="11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{68BD0D07-F802-4CD9-A954-812C9D2003F2}</x14:id>
        </ext>
      </extLst>
    </cfRule>
  </conditionalFormatting>
  <conditionalFormatting sqref="F58">
    <cfRule type="dataBar" priority="29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{1B01DF5E-9862-4D11-AF89-BF7EDC9DC58A}</x14:id>
        </ext>
      </extLst>
    </cfRule>
  </conditionalFormatting>
  <conditionalFormatting sqref="F65">
    <cfRule type="dataBar" priority="6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{D76AB65E-1360-4350-8775-7975DCE94610}</x14:id>
        </ext>
      </extLst>
    </cfRule>
  </conditionalFormatting>
  <conditionalFormatting sqref="F71">
    <cfRule type="dataBar" priority="1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{40A6514E-BB0D-4B68-AD2D-A64A05F554C3}</x14:id>
        </ext>
      </extLst>
    </cfRule>
  </conditionalFormatting>
  <conditionalFormatting sqref="G7:G83">
    <cfRule type="expression" dxfId="17" priority="2">
      <formula>TRIM($G7)="Done"</formula>
    </cfRule>
    <cfRule type="expression" dxfId="16" priority="3">
      <formula>TRIM($G7)="In Progress"</formula>
    </cfRule>
    <cfRule type="expression" dxfId="15" priority="4">
      <formula>TRIM($G7)="Planned"</formula>
    </cfRule>
    <cfRule type="expression" dxfId="14" priority="5">
      <formula>TRIM($G7)="Delayed"</formula>
    </cfRule>
  </conditionalFormatting>
  <conditionalFormatting sqref="I5:AL6">
    <cfRule type="expression" dxfId="13" priority="53">
      <formula>AND(I$6&lt;=TODAY(),I$6+6&gt;=TODAY())</formula>
    </cfRule>
  </conditionalFormatting>
  <conditionalFormatting sqref="I7:AL83">
    <cfRule type="expression" dxfId="12" priority="12">
      <formula>AND(I$6&lt;=$D7,I$6+6&gt;=$C7,TRIM($G7)="Done")</formula>
    </cfRule>
    <cfRule type="expression" dxfId="11" priority="13">
      <formula>AND(I$6&lt;=$D7,I$6+6&gt;=$C7,TRIM($G7)="In Progress")</formula>
    </cfRule>
    <cfRule type="expression" dxfId="10" priority="14">
      <formula>AND(I$6&lt;=$D7,I$6+6&gt;=$C7,TRIM($G7)="Delayed")</formula>
    </cfRule>
    <cfRule type="expression" dxfId="9" priority="15">
      <formula>AND(I$6&lt;=$D7,I$6+6&gt;=$C7,TRIM($G7)="Planned")</formula>
    </cfRule>
  </conditionalFormatting>
  <printOptions horizontalCentered="1"/>
  <pageMargins left="0.75" right="0.75" top="1" bottom="1" header="0.511811023622047" footer="0.511811023622047"/>
  <pageSetup fitToHeight="0" orientation="landscape" horizontalDpi="300" verticalDpi="300"/>
  <headerFooter>
    <oddFooter>&amp;C_x000D_&amp;1#&amp;"Aptos"&amp;6&amp;K626469 Public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ED253C-1931-4260-97A8-21D5FB1CD60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F7</xm:sqref>
        </x14:conditionalFormatting>
        <x14:conditionalFormatting xmlns:xm="http://schemas.microsoft.com/office/excel/2006/main">
          <x14:cfRule type="dataBar" id="{5728795B-8474-4AB5-9AD1-B08EB2BF70DE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F8:F10 F21:F49 F59:F64 F12:F19 F51:F57 F66:F70 F72:F83</xm:sqref>
        </x14:conditionalFormatting>
        <x14:conditionalFormatting xmlns:xm="http://schemas.microsoft.com/office/excel/2006/main">
          <x14:cfRule type="dataBar" id="{62BED95F-7876-4EC8-86A1-4ED16BDF0EE5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F11</xm:sqref>
        </x14:conditionalFormatting>
        <x14:conditionalFormatting xmlns:xm="http://schemas.microsoft.com/office/excel/2006/main">
          <x14:cfRule type="dataBar" id="{3FC9FDF6-AB05-409E-9504-A1CDF6B4053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F20</xm:sqref>
        </x14:conditionalFormatting>
        <x14:conditionalFormatting xmlns:xm="http://schemas.microsoft.com/office/excel/2006/main">
          <x14:cfRule type="dataBar" id="{68BD0D07-F802-4CD9-A954-812C9D2003F2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F50</xm:sqref>
        </x14:conditionalFormatting>
        <x14:conditionalFormatting xmlns:xm="http://schemas.microsoft.com/office/excel/2006/main">
          <x14:cfRule type="dataBar" id="{1B01DF5E-9862-4D11-AF89-BF7EDC9DC58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F58</xm:sqref>
        </x14:conditionalFormatting>
        <x14:conditionalFormatting xmlns:xm="http://schemas.microsoft.com/office/excel/2006/main">
          <x14:cfRule type="dataBar" id="{D76AB65E-1360-4350-8775-7975DCE9461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F65</xm:sqref>
        </x14:conditionalFormatting>
        <x14:conditionalFormatting xmlns:xm="http://schemas.microsoft.com/office/excel/2006/main">
          <x14:cfRule type="dataBar" id="{40A6514E-BB0D-4B68-AD2D-A64A05F554C3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F71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46"/>
  <sheetViews>
    <sheetView showGridLines="0" zoomScaleNormal="100" workbookViewId="0">
      <pane xSplit="8" ySplit="6" topLeftCell="AH7" activePane="bottomRight" state="frozen"/>
      <selection pane="topRight" activeCell="I1" sqref="I1"/>
      <selection pane="bottomLeft" activeCell="A7" sqref="A7"/>
      <selection pane="bottomRight" activeCell="A18" sqref="A18:XFD18"/>
    </sheetView>
  </sheetViews>
  <sheetFormatPr defaultColWidth="8.6640625" defaultRowHeight="14.4" x14ac:dyDescent="0.3"/>
  <cols>
    <col min="1" max="1" width="34" customWidth="1"/>
    <col min="2" max="2" width="14" customWidth="1"/>
    <col min="3" max="4" width="12" customWidth="1"/>
    <col min="5" max="6" width="9" customWidth="1"/>
    <col min="7" max="7" width="13" customWidth="1"/>
    <col min="8" max="8" width="30" customWidth="1"/>
    <col min="9" max="38" width="5.5546875" customWidth="1"/>
  </cols>
  <sheetData>
    <row r="1" spans="1:38" ht="27.75" customHeight="1" x14ac:dyDescent="0.3">
      <c r="A1" s="21" t="s">
        <v>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38" ht="21.75" customHeight="1" x14ac:dyDescent="0.3">
      <c r="A2" s="2" t="s">
        <v>54</v>
      </c>
      <c r="B2" s="3">
        <v>46174</v>
      </c>
      <c r="C2" s="2" t="s">
        <v>55</v>
      </c>
      <c r="D2" s="4">
        <f ca="1">TODAY()</f>
        <v>46197</v>
      </c>
      <c r="F2" s="2" t="s">
        <v>56</v>
      </c>
      <c r="I2" s="22" t="s">
        <v>57</v>
      </c>
      <c r="J2" s="22"/>
      <c r="K2" s="23" t="s">
        <v>58</v>
      </c>
      <c r="L2" s="23"/>
      <c r="M2" s="24" t="s">
        <v>59</v>
      </c>
      <c r="N2" s="24"/>
      <c r="O2" s="25" t="s">
        <v>60</v>
      </c>
      <c r="P2" s="25"/>
      <c r="Q2" s="26" t="s">
        <v>61</v>
      </c>
      <c r="R2" s="26"/>
    </row>
    <row r="3" spans="1:38" ht="15.75" customHeight="1" x14ac:dyDescent="0.3">
      <c r="A3" s="34" t="s">
        <v>11</v>
      </c>
      <c r="B3" s="34"/>
      <c r="C3" s="24" t="s">
        <v>13</v>
      </c>
      <c r="D3" s="24"/>
      <c r="E3" s="23" t="s">
        <v>15</v>
      </c>
      <c r="F3" s="23"/>
      <c r="G3" s="22" t="s">
        <v>17</v>
      </c>
      <c r="H3" s="22"/>
      <c r="I3" s="25" t="s">
        <v>19</v>
      </c>
      <c r="J3" s="25"/>
      <c r="K3" s="25"/>
      <c r="L3" s="25"/>
      <c r="M3" s="27" t="s">
        <v>21</v>
      </c>
      <c r="N3" s="27"/>
      <c r="O3" s="27"/>
      <c r="P3" s="27"/>
      <c r="Q3" s="27"/>
    </row>
    <row r="4" spans="1:38" ht="27.75" customHeight="1" x14ac:dyDescent="0.3">
      <c r="A4" s="28">
        <f>COUNTA(C7:C46)</f>
        <v>12</v>
      </c>
      <c r="B4" s="28"/>
      <c r="C4" s="29">
        <f ca="1">COUNTIF(G7:G46,"Planned")</f>
        <v>5</v>
      </c>
      <c r="D4" s="29"/>
      <c r="E4" s="30">
        <f ca="1">COUNTIF(G7:G46,"In Progress")</f>
        <v>2</v>
      </c>
      <c r="F4" s="30"/>
      <c r="G4" s="31">
        <f ca="1">COUNTIF(G7:G46,"Done")</f>
        <v>2</v>
      </c>
      <c r="H4" s="31"/>
      <c r="I4" s="32">
        <f ca="1">COUNTIF(G7:G46,"Delayed")</f>
        <v>3</v>
      </c>
      <c r="J4" s="32"/>
      <c r="K4" s="32"/>
      <c r="L4" s="32"/>
      <c r="M4" s="33">
        <f>IFERROR(AVERAGEIF(C7:C46,"&lt;&gt;",F7:F46),0)</f>
        <v>0.33333333333333331</v>
      </c>
      <c r="N4" s="33"/>
      <c r="O4" s="33"/>
      <c r="P4" s="33"/>
      <c r="Q4" s="33"/>
    </row>
    <row r="5" spans="1:38" ht="30" customHeight="1" x14ac:dyDescent="0.3">
      <c r="A5" s="5" t="s">
        <v>62</v>
      </c>
      <c r="B5" s="5" t="s">
        <v>63</v>
      </c>
      <c r="C5" s="5" t="s">
        <v>64</v>
      </c>
      <c r="D5" s="5" t="s">
        <v>65</v>
      </c>
      <c r="E5" s="5" t="s">
        <v>66</v>
      </c>
      <c r="F5" s="5" t="s">
        <v>67</v>
      </c>
      <c r="G5" s="5" t="s">
        <v>68</v>
      </c>
      <c r="H5" s="5" t="s">
        <v>69</v>
      </c>
      <c r="I5" s="5" t="str">
        <f t="shared" ref="I5:AL5" si="0">"WK"&amp;TEXT(WEEKNUM(I6,2),"00")</f>
        <v>WK23</v>
      </c>
      <c r="J5" s="5" t="str">
        <f t="shared" si="0"/>
        <v>WK24</v>
      </c>
      <c r="K5" s="5" t="str">
        <f t="shared" si="0"/>
        <v>WK25</v>
      </c>
      <c r="L5" s="5" t="str">
        <f t="shared" si="0"/>
        <v>WK26</v>
      </c>
      <c r="M5" s="5" t="str">
        <f t="shared" si="0"/>
        <v>WK27</v>
      </c>
      <c r="N5" s="5" t="str">
        <f t="shared" si="0"/>
        <v>WK28</v>
      </c>
      <c r="O5" s="5" t="str">
        <f t="shared" si="0"/>
        <v>WK29</v>
      </c>
      <c r="P5" s="5" t="str">
        <f t="shared" si="0"/>
        <v>WK30</v>
      </c>
      <c r="Q5" s="5" t="str">
        <f t="shared" si="0"/>
        <v>WK31</v>
      </c>
      <c r="R5" s="5" t="str">
        <f t="shared" si="0"/>
        <v>WK32</v>
      </c>
      <c r="S5" s="5" t="str">
        <f t="shared" si="0"/>
        <v>WK33</v>
      </c>
      <c r="T5" s="5" t="str">
        <f t="shared" si="0"/>
        <v>WK34</v>
      </c>
      <c r="U5" s="5" t="str">
        <f t="shared" si="0"/>
        <v>WK35</v>
      </c>
      <c r="V5" s="5" t="str">
        <f t="shared" si="0"/>
        <v>WK36</v>
      </c>
      <c r="W5" s="5" t="str">
        <f t="shared" si="0"/>
        <v>WK37</v>
      </c>
      <c r="X5" s="5" t="str">
        <f t="shared" si="0"/>
        <v>WK38</v>
      </c>
      <c r="Y5" s="5" t="str">
        <f t="shared" si="0"/>
        <v>WK39</v>
      </c>
      <c r="Z5" s="5" t="str">
        <f t="shared" si="0"/>
        <v>WK40</v>
      </c>
      <c r="AA5" s="5" t="str">
        <f t="shared" si="0"/>
        <v>WK41</v>
      </c>
      <c r="AB5" s="5" t="str">
        <f t="shared" si="0"/>
        <v>WK42</v>
      </c>
      <c r="AC5" s="5" t="str">
        <f t="shared" si="0"/>
        <v>WK43</v>
      </c>
      <c r="AD5" s="5" t="str">
        <f t="shared" si="0"/>
        <v>WK44</v>
      </c>
      <c r="AE5" s="5" t="str">
        <f t="shared" si="0"/>
        <v>WK45</v>
      </c>
      <c r="AF5" s="5" t="str">
        <f t="shared" si="0"/>
        <v>WK46</v>
      </c>
      <c r="AG5" s="5" t="str">
        <f t="shared" si="0"/>
        <v>WK47</v>
      </c>
      <c r="AH5" s="5" t="str">
        <f t="shared" si="0"/>
        <v>WK48</v>
      </c>
      <c r="AI5" s="5" t="str">
        <f t="shared" si="0"/>
        <v>WK49</v>
      </c>
      <c r="AJ5" s="5" t="str">
        <f t="shared" si="0"/>
        <v>WK50</v>
      </c>
      <c r="AK5" s="5" t="str">
        <f t="shared" si="0"/>
        <v>WK51</v>
      </c>
      <c r="AL5" s="5" t="str">
        <f t="shared" si="0"/>
        <v>WK52</v>
      </c>
    </row>
    <row r="6" spans="1:38" ht="15.75" customHeight="1" x14ac:dyDescent="0.3">
      <c r="H6" s="6" t="s">
        <v>70</v>
      </c>
      <c r="I6" s="7">
        <f>B2</f>
        <v>46174</v>
      </c>
      <c r="J6" s="7">
        <f t="shared" ref="J6:AL6" si="1">I6+7</f>
        <v>46181</v>
      </c>
      <c r="K6" s="7">
        <f t="shared" si="1"/>
        <v>46188</v>
      </c>
      <c r="L6" s="7">
        <f t="shared" si="1"/>
        <v>46195</v>
      </c>
      <c r="M6" s="7">
        <f t="shared" si="1"/>
        <v>46202</v>
      </c>
      <c r="N6" s="7">
        <f t="shared" si="1"/>
        <v>46209</v>
      </c>
      <c r="O6" s="7">
        <f t="shared" si="1"/>
        <v>46216</v>
      </c>
      <c r="P6" s="7">
        <f t="shared" si="1"/>
        <v>46223</v>
      </c>
      <c r="Q6" s="7">
        <f t="shared" si="1"/>
        <v>46230</v>
      </c>
      <c r="R6" s="7">
        <f t="shared" si="1"/>
        <v>46237</v>
      </c>
      <c r="S6" s="7">
        <f t="shared" si="1"/>
        <v>46244</v>
      </c>
      <c r="T6" s="7">
        <f t="shared" si="1"/>
        <v>46251</v>
      </c>
      <c r="U6" s="7">
        <f t="shared" si="1"/>
        <v>46258</v>
      </c>
      <c r="V6" s="7">
        <f t="shared" si="1"/>
        <v>46265</v>
      </c>
      <c r="W6" s="7">
        <f t="shared" si="1"/>
        <v>46272</v>
      </c>
      <c r="X6" s="7">
        <f t="shared" si="1"/>
        <v>46279</v>
      </c>
      <c r="Y6" s="7">
        <f t="shared" si="1"/>
        <v>46286</v>
      </c>
      <c r="Z6" s="7">
        <f t="shared" si="1"/>
        <v>46293</v>
      </c>
      <c r="AA6" s="7">
        <f t="shared" si="1"/>
        <v>46300</v>
      </c>
      <c r="AB6" s="7">
        <f t="shared" si="1"/>
        <v>46307</v>
      </c>
      <c r="AC6" s="7">
        <f t="shared" si="1"/>
        <v>46314</v>
      </c>
      <c r="AD6" s="7">
        <f t="shared" si="1"/>
        <v>46321</v>
      </c>
      <c r="AE6" s="7">
        <f t="shared" si="1"/>
        <v>46328</v>
      </c>
      <c r="AF6" s="7">
        <f t="shared" si="1"/>
        <v>46335</v>
      </c>
      <c r="AG6" s="7">
        <f t="shared" si="1"/>
        <v>46342</v>
      </c>
      <c r="AH6" s="7">
        <f t="shared" si="1"/>
        <v>46349</v>
      </c>
      <c r="AI6" s="7">
        <f t="shared" si="1"/>
        <v>46356</v>
      </c>
      <c r="AJ6" s="7">
        <f t="shared" si="1"/>
        <v>46363</v>
      </c>
      <c r="AK6" s="7">
        <f t="shared" si="1"/>
        <v>46370</v>
      </c>
      <c r="AL6" s="7">
        <f t="shared" si="1"/>
        <v>46377</v>
      </c>
    </row>
    <row r="7" spans="1:38" ht="19.5" customHeight="1" x14ac:dyDescent="0.3">
      <c r="A7" s="14" t="s">
        <v>71</v>
      </c>
      <c r="B7" s="15"/>
      <c r="C7" s="16"/>
      <c r="D7" s="16"/>
      <c r="E7" s="17"/>
      <c r="F7" s="18"/>
      <c r="G7" s="19"/>
      <c r="H7" s="15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19.5" customHeight="1" x14ac:dyDescent="0.3">
      <c r="A8" s="8" t="s">
        <v>72</v>
      </c>
      <c r="B8" s="8" t="s">
        <v>73</v>
      </c>
      <c r="C8" s="9">
        <v>46174</v>
      </c>
      <c r="D8" s="9">
        <v>46174</v>
      </c>
      <c r="E8" s="10">
        <f>IF(OR(C8="",D8=""),"",D8-C8+1)</f>
        <v>1</v>
      </c>
      <c r="F8" s="11">
        <v>1</v>
      </c>
      <c r="G8" s="12" t="str">
        <f ca="1">IF(OR(C8="",D8=""),"",IF(F8&gt;=1,"Done",IF(AND(D8&lt;TODAY(),F8&lt;1),"Delayed",IF(F8&gt;0,"In Progress","Planned"))))</f>
        <v>Done</v>
      </c>
      <c r="H8" s="8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1:38" ht="19.5" customHeight="1" x14ac:dyDescent="0.3">
      <c r="A9" s="8" t="s">
        <v>74</v>
      </c>
      <c r="B9" s="8" t="s">
        <v>75</v>
      </c>
      <c r="C9" s="9">
        <v>46174</v>
      </c>
      <c r="D9" s="9">
        <v>46178</v>
      </c>
      <c r="E9" s="10">
        <f>IF(OR(C9="",D9=""),"",D9-C9+1)</f>
        <v>5</v>
      </c>
      <c r="F9" s="11">
        <v>1</v>
      </c>
      <c r="G9" s="12" t="str">
        <f ca="1">IF(OR(C9="",D9=""),"",IF(F9&gt;=1,"Done",IF(AND(D9&lt;TODAY(),F9&lt;1),"Delayed",IF(F9&gt;0,"In Progress","Planned"))))</f>
        <v>Done</v>
      </c>
      <c r="H9" s="8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ht="19.5" customHeight="1" x14ac:dyDescent="0.3">
      <c r="A10" s="8" t="s">
        <v>76</v>
      </c>
      <c r="B10" s="8" t="s">
        <v>77</v>
      </c>
      <c r="C10" s="9">
        <v>46177</v>
      </c>
      <c r="D10" s="9">
        <v>46183</v>
      </c>
      <c r="E10" s="10">
        <f>IF(OR(C10="",D10=""),"",D10-C10+1)</f>
        <v>7</v>
      </c>
      <c r="F10" s="11">
        <v>0.7</v>
      </c>
      <c r="G10" s="12" t="str">
        <f ca="1">IF(OR(C10="",D10=""),"",IF(F10&gt;=1,"Done",IF(AND(D10&lt;TODAY(),F10&lt;1),"Delayed",IF(F10&gt;0,"In Progress","Planned"))))</f>
        <v>Delayed</v>
      </c>
      <c r="H10" s="8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9.5" customHeight="1" x14ac:dyDescent="0.3">
      <c r="A11" s="8" t="s">
        <v>78</v>
      </c>
      <c r="B11" s="8" t="s">
        <v>75</v>
      </c>
      <c r="C11" s="9">
        <v>46179</v>
      </c>
      <c r="D11" s="9">
        <v>46185</v>
      </c>
      <c r="E11" s="10">
        <f>IF(OR(C11="",D11=""),"",D11-C11+1)</f>
        <v>7</v>
      </c>
      <c r="F11" s="11">
        <v>0.5</v>
      </c>
      <c r="G11" s="12" t="str">
        <f ca="1">IF(OR(C11="",D11=""),"",IF(F11&gt;=1,"Done",IF(AND(D11&lt;TODAY(),F11&lt;1),"Delayed",IF(F11&gt;0,"In Progress","Planned"))))</f>
        <v>Delayed</v>
      </c>
      <c r="H11" s="8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ht="19.5" customHeight="1" x14ac:dyDescent="0.3">
      <c r="A12" s="14" t="s">
        <v>79</v>
      </c>
      <c r="B12" s="15"/>
      <c r="C12" s="16"/>
      <c r="D12" s="16"/>
      <c r="E12" s="17"/>
      <c r="F12" s="18"/>
      <c r="G12" s="19"/>
      <c r="H12" s="15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9.5" customHeight="1" x14ac:dyDescent="0.3">
      <c r="A13" s="8" t="s">
        <v>80</v>
      </c>
      <c r="B13" s="8" t="s">
        <v>81</v>
      </c>
      <c r="C13" s="9">
        <v>46181</v>
      </c>
      <c r="D13" s="9">
        <v>46191</v>
      </c>
      <c r="E13" s="10">
        <f>IF(OR(C13="",D13=""),"",D13-C13+1)</f>
        <v>11</v>
      </c>
      <c r="F13" s="11">
        <v>0.4</v>
      </c>
      <c r="G13" s="12" t="str">
        <f ca="1">IF(OR(C13="",D13=""),"",IF(F13&gt;=1,"Done",IF(AND(D13&lt;TODAY(),F13&lt;1),"Delayed",IF(F13&gt;0,"In Progress","Planned"))))</f>
        <v>Delayed</v>
      </c>
      <c r="H13" s="8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9.5" customHeight="1" x14ac:dyDescent="0.3">
      <c r="A14" s="8" t="s">
        <v>82</v>
      </c>
      <c r="B14" s="8" t="s">
        <v>83</v>
      </c>
      <c r="C14" s="9">
        <v>46181</v>
      </c>
      <c r="D14" s="9">
        <v>46199</v>
      </c>
      <c r="E14" s="10">
        <f>IF(OR(C14="",D14=""),"",D14-C14+1)</f>
        <v>19</v>
      </c>
      <c r="F14" s="11">
        <v>0.3</v>
      </c>
      <c r="G14" s="12" t="str">
        <f ca="1">IF(OR(C14="",D14=""),"",IF(F14&gt;=1,"Done",IF(AND(D14&lt;TODAY(),F14&lt;1),"Delayed",IF(F14&gt;0,"In Progress","Planned"))))</f>
        <v>In Progress</v>
      </c>
      <c r="H14" s="8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9.5" customHeight="1" x14ac:dyDescent="0.3">
      <c r="A15" s="8" t="s">
        <v>84</v>
      </c>
      <c r="B15" s="8" t="s">
        <v>81</v>
      </c>
      <c r="C15" s="9">
        <v>46191</v>
      </c>
      <c r="D15" s="9">
        <v>46205</v>
      </c>
      <c r="E15" s="10">
        <f>IF(OR(C15="",D15=""),"",D15-C15+1)</f>
        <v>15</v>
      </c>
      <c r="F15" s="11">
        <v>0.1</v>
      </c>
      <c r="G15" s="12" t="str">
        <f ca="1">IF(OR(C15="",D15=""),"",IF(F15&gt;=1,"Done",IF(AND(D15&lt;TODAY(),F15&lt;1),"Delayed",IF(F15&gt;0,"In Progress","Planned"))))</f>
        <v>In Progress</v>
      </c>
      <c r="H15" s="8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9.5" customHeight="1" x14ac:dyDescent="0.3">
      <c r="A16" s="8" t="s">
        <v>85</v>
      </c>
      <c r="B16" s="8" t="s">
        <v>86</v>
      </c>
      <c r="C16" s="9">
        <v>46199</v>
      </c>
      <c r="D16" s="9">
        <v>46212</v>
      </c>
      <c r="E16" s="10">
        <f>IF(OR(C16="",D16=""),"",D16-C16+1)</f>
        <v>14</v>
      </c>
      <c r="F16" s="11">
        <v>0</v>
      </c>
      <c r="G16" s="12" t="str">
        <f ca="1">IF(OR(C16="",D16=""),"",IF(F16&gt;=1,"Done",IF(AND(D16&lt;TODAY(),F16&lt;1),"Delayed",IF(F16&gt;0,"In Progress","Planned"))))</f>
        <v>Planned</v>
      </c>
      <c r="H16" s="8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9.5" customHeight="1" x14ac:dyDescent="0.3">
      <c r="A17" s="8" t="s">
        <v>87</v>
      </c>
      <c r="B17" s="8" t="s">
        <v>88</v>
      </c>
      <c r="C17" s="9">
        <v>46205</v>
      </c>
      <c r="D17" s="9">
        <v>46219</v>
      </c>
      <c r="E17" s="10">
        <f>IF(OR(C17="",D17=""),"",D17-C17+1)</f>
        <v>15</v>
      </c>
      <c r="F17" s="11">
        <v>0</v>
      </c>
      <c r="G17" s="12" t="str">
        <f ca="1">IF(OR(C17="",D17=""),"",IF(F17&gt;=1,"Done",IF(AND(D17&lt;TODAY(),F17&lt;1),"Delayed",IF(F17&gt;0,"In Progress","Planned"))))</f>
        <v>Planned</v>
      </c>
      <c r="H17" s="8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ht="19.5" customHeight="1" x14ac:dyDescent="0.3">
      <c r="A18" s="14" t="s">
        <v>89</v>
      </c>
      <c r="B18" s="15"/>
      <c r="C18" s="16"/>
      <c r="D18" s="16"/>
      <c r="E18" s="17"/>
      <c r="F18" s="18"/>
      <c r="G18" s="19"/>
      <c r="H18" s="15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9.5" customHeight="1" x14ac:dyDescent="0.3">
      <c r="A19" s="8" t="s">
        <v>90</v>
      </c>
      <c r="B19" s="8" t="s">
        <v>91</v>
      </c>
      <c r="C19" s="9">
        <v>46219</v>
      </c>
      <c r="D19" s="9">
        <v>46226</v>
      </c>
      <c r="E19" s="10">
        <f t="shared" ref="E19:E46" si="2">IF(OR(C19="",D19=""),"",D19-C19+1)</f>
        <v>8</v>
      </c>
      <c r="F19" s="11">
        <v>0</v>
      </c>
      <c r="G19" s="12" t="str">
        <f t="shared" ref="G19:G46" ca="1" si="3">IF(OR(C19="",D19=""),"",IF(F19&gt;=1,"Done",IF(AND(D19&lt;TODAY(),F19&lt;1),"Delayed",IF(F19&gt;0,"In Progress","Planned"))))</f>
        <v>Planned</v>
      </c>
      <c r="H19" s="8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ht="19.5" customHeight="1" x14ac:dyDescent="0.3">
      <c r="A20" s="8" t="s">
        <v>92</v>
      </c>
      <c r="B20" s="8" t="s">
        <v>75</v>
      </c>
      <c r="C20" s="9">
        <v>46212</v>
      </c>
      <c r="D20" s="9">
        <v>46226</v>
      </c>
      <c r="E20" s="10">
        <f t="shared" si="2"/>
        <v>15</v>
      </c>
      <c r="F20" s="11">
        <v>0</v>
      </c>
      <c r="G20" s="12" t="str">
        <f t="shared" ca="1" si="3"/>
        <v>Planned</v>
      </c>
      <c r="H20" s="8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9.5" customHeight="1" x14ac:dyDescent="0.3">
      <c r="A21" s="8" t="s">
        <v>93</v>
      </c>
      <c r="B21" s="8" t="s">
        <v>94</v>
      </c>
      <c r="C21" s="9">
        <v>46226</v>
      </c>
      <c r="D21" s="9">
        <v>46226</v>
      </c>
      <c r="E21" s="10">
        <f t="shared" si="2"/>
        <v>1</v>
      </c>
      <c r="F21" s="11">
        <v>0</v>
      </c>
      <c r="G21" s="12" t="str">
        <f t="shared" ca="1" si="3"/>
        <v>Planned</v>
      </c>
      <c r="H21" s="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ht="19.5" customHeight="1" x14ac:dyDescent="0.3">
      <c r="A22" s="8"/>
      <c r="B22" s="8"/>
      <c r="C22" s="9"/>
      <c r="D22" s="9"/>
      <c r="E22" s="10" t="str">
        <f t="shared" si="2"/>
        <v/>
      </c>
      <c r="F22" s="11"/>
      <c r="G22" s="12" t="str">
        <f t="shared" ca="1" si="3"/>
        <v/>
      </c>
      <c r="H22" s="8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9.5" customHeight="1" x14ac:dyDescent="0.3">
      <c r="A23" s="8"/>
      <c r="B23" s="8"/>
      <c r="C23" s="9"/>
      <c r="D23" s="9"/>
      <c r="E23" s="10" t="str">
        <f t="shared" si="2"/>
        <v/>
      </c>
      <c r="F23" s="11"/>
      <c r="G23" s="12" t="str">
        <f t="shared" ca="1" si="3"/>
        <v/>
      </c>
      <c r="H23" s="8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ht="19.5" customHeight="1" x14ac:dyDescent="0.3">
      <c r="A24" s="8"/>
      <c r="B24" s="8"/>
      <c r="C24" s="9"/>
      <c r="D24" s="9"/>
      <c r="E24" s="10" t="str">
        <f t="shared" si="2"/>
        <v/>
      </c>
      <c r="F24" s="11"/>
      <c r="G24" s="12" t="str">
        <f t="shared" ca="1" si="3"/>
        <v/>
      </c>
      <c r="H24" s="8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9.5" customHeight="1" x14ac:dyDescent="0.3">
      <c r="A25" s="8"/>
      <c r="B25" s="8"/>
      <c r="C25" s="9"/>
      <c r="D25" s="9"/>
      <c r="E25" s="10" t="str">
        <f t="shared" si="2"/>
        <v/>
      </c>
      <c r="F25" s="11"/>
      <c r="G25" s="12" t="str">
        <f t="shared" ca="1" si="3"/>
        <v/>
      </c>
      <c r="H25" s="8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ht="19.5" customHeight="1" x14ac:dyDescent="0.3">
      <c r="A26" s="8"/>
      <c r="B26" s="8"/>
      <c r="C26" s="9"/>
      <c r="D26" s="9"/>
      <c r="E26" s="10" t="str">
        <f t="shared" si="2"/>
        <v/>
      </c>
      <c r="F26" s="11"/>
      <c r="G26" s="12" t="str">
        <f t="shared" ca="1" si="3"/>
        <v/>
      </c>
      <c r="H26" s="8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ht="19.5" customHeight="1" x14ac:dyDescent="0.3">
      <c r="A27" s="8"/>
      <c r="B27" s="8"/>
      <c r="C27" s="9"/>
      <c r="D27" s="9"/>
      <c r="E27" s="10" t="str">
        <f t="shared" si="2"/>
        <v/>
      </c>
      <c r="F27" s="11"/>
      <c r="G27" s="12" t="str">
        <f t="shared" ca="1" si="3"/>
        <v/>
      </c>
      <c r="H27" s="8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ht="19.5" customHeight="1" x14ac:dyDescent="0.3">
      <c r="A28" s="8"/>
      <c r="B28" s="8"/>
      <c r="C28" s="9"/>
      <c r="D28" s="9"/>
      <c r="E28" s="10" t="str">
        <f t="shared" si="2"/>
        <v/>
      </c>
      <c r="F28" s="11"/>
      <c r="G28" s="12" t="str">
        <f t="shared" ca="1" si="3"/>
        <v/>
      </c>
      <c r="H28" s="8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9.5" customHeight="1" x14ac:dyDescent="0.3">
      <c r="A29" s="8"/>
      <c r="B29" s="8"/>
      <c r="C29" s="9"/>
      <c r="D29" s="9"/>
      <c r="E29" s="10" t="str">
        <f t="shared" si="2"/>
        <v/>
      </c>
      <c r="F29" s="11"/>
      <c r="G29" s="12" t="str">
        <f t="shared" ca="1" si="3"/>
        <v/>
      </c>
      <c r="H29" s="8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ht="19.5" customHeight="1" x14ac:dyDescent="0.3">
      <c r="A30" s="8"/>
      <c r="B30" s="8"/>
      <c r="C30" s="9"/>
      <c r="D30" s="9"/>
      <c r="E30" s="10" t="str">
        <f t="shared" si="2"/>
        <v/>
      </c>
      <c r="F30" s="11"/>
      <c r="G30" s="12" t="str">
        <f t="shared" ca="1" si="3"/>
        <v/>
      </c>
      <c r="H30" s="8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ht="19.5" customHeight="1" x14ac:dyDescent="0.3">
      <c r="A31" s="8"/>
      <c r="B31" s="8"/>
      <c r="C31" s="9"/>
      <c r="D31" s="9"/>
      <c r="E31" s="10" t="str">
        <f t="shared" si="2"/>
        <v/>
      </c>
      <c r="F31" s="11"/>
      <c r="G31" s="12" t="str">
        <f t="shared" ca="1" si="3"/>
        <v/>
      </c>
      <c r="H31" s="8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9.5" customHeight="1" x14ac:dyDescent="0.3">
      <c r="A32" s="8"/>
      <c r="B32" s="8"/>
      <c r="C32" s="9"/>
      <c r="D32" s="9"/>
      <c r="E32" s="10" t="str">
        <f t="shared" si="2"/>
        <v/>
      </c>
      <c r="F32" s="11"/>
      <c r="G32" s="12" t="str">
        <f t="shared" ca="1" si="3"/>
        <v/>
      </c>
      <c r="H32" s="8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9.5" customHeight="1" x14ac:dyDescent="0.3">
      <c r="A33" s="8"/>
      <c r="B33" s="8"/>
      <c r="C33" s="9"/>
      <c r="D33" s="9"/>
      <c r="E33" s="10" t="str">
        <f t="shared" si="2"/>
        <v/>
      </c>
      <c r="F33" s="11"/>
      <c r="G33" s="12" t="str">
        <f t="shared" ca="1" si="3"/>
        <v/>
      </c>
      <c r="H33" s="8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19.5" customHeight="1" x14ac:dyDescent="0.3">
      <c r="A34" s="8"/>
      <c r="B34" s="8"/>
      <c r="C34" s="9"/>
      <c r="D34" s="9"/>
      <c r="E34" s="10" t="str">
        <f t="shared" si="2"/>
        <v/>
      </c>
      <c r="F34" s="11"/>
      <c r="G34" s="12" t="str">
        <f t="shared" ca="1" si="3"/>
        <v/>
      </c>
      <c r="H34" s="8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9.5" customHeight="1" x14ac:dyDescent="0.3">
      <c r="A35" s="8"/>
      <c r="B35" s="8"/>
      <c r="C35" s="9"/>
      <c r="D35" s="9"/>
      <c r="E35" s="10" t="str">
        <f t="shared" si="2"/>
        <v/>
      </c>
      <c r="F35" s="11"/>
      <c r="G35" s="12" t="str">
        <f t="shared" ca="1" si="3"/>
        <v/>
      </c>
      <c r="H35" s="8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9.5" customHeight="1" x14ac:dyDescent="0.3">
      <c r="A36" s="8"/>
      <c r="B36" s="8"/>
      <c r="C36" s="9"/>
      <c r="D36" s="9"/>
      <c r="E36" s="10" t="str">
        <f t="shared" si="2"/>
        <v/>
      </c>
      <c r="F36" s="11"/>
      <c r="G36" s="12" t="str">
        <f t="shared" ca="1" si="3"/>
        <v/>
      </c>
      <c r="H36" s="8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9.5" customHeight="1" x14ac:dyDescent="0.3">
      <c r="A37" s="8"/>
      <c r="B37" s="8"/>
      <c r="C37" s="9"/>
      <c r="D37" s="9"/>
      <c r="E37" s="10" t="str">
        <f t="shared" si="2"/>
        <v/>
      </c>
      <c r="F37" s="11"/>
      <c r="G37" s="12" t="str">
        <f t="shared" ca="1" si="3"/>
        <v/>
      </c>
      <c r="H37" s="8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9.5" customHeight="1" x14ac:dyDescent="0.3">
      <c r="A38" s="8"/>
      <c r="B38" s="8"/>
      <c r="C38" s="9"/>
      <c r="D38" s="9"/>
      <c r="E38" s="10" t="str">
        <f t="shared" si="2"/>
        <v/>
      </c>
      <c r="F38" s="11"/>
      <c r="G38" s="12" t="str">
        <f t="shared" ca="1" si="3"/>
        <v/>
      </c>
      <c r="H38" s="8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9.5" customHeight="1" x14ac:dyDescent="0.3">
      <c r="A39" s="8"/>
      <c r="B39" s="8"/>
      <c r="C39" s="9"/>
      <c r="D39" s="9"/>
      <c r="E39" s="10" t="str">
        <f t="shared" si="2"/>
        <v/>
      </c>
      <c r="F39" s="11"/>
      <c r="G39" s="12" t="str">
        <f t="shared" ca="1" si="3"/>
        <v/>
      </c>
      <c r="H39" s="8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9.5" customHeight="1" x14ac:dyDescent="0.3">
      <c r="A40" s="8"/>
      <c r="B40" s="8"/>
      <c r="C40" s="9"/>
      <c r="D40" s="9"/>
      <c r="E40" s="10" t="str">
        <f t="shared" si="2"/>
        <v/>
      </c>
      <c r="F40" s="11"/>
      <c r="G40" s="12" t="str">
        <f t="shared" ca="1" si="3"/>
        <v/>
      </c>
      <c r="H40" s="8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ht="19.5" customHeight="1" x14ac:dyDescent="0.3">
      <c r="A41" s="8"/>
      <c r="B41" s="8"/>
      <c r="C41" s="9"/>
      <c r="D41" s="9"/>
      <c r="E41" s="10" t="str">
        <f t="shared" si="2"/>
        <v/>
      </c>
      <c r="F41" s="11"/>
      <c r="G41" s="12" t="str">
        <f t="shared" ca="1" si="3"/>
        <v/>
      </c>
      <c r="H41" s="8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ht="19.5" customHeight="1" x14ac:dyDescent="0.3">
      <c r="A42" s="8"/>
      <c r="B42" s="8"/>
      <c r="C42" s="9"/>
      <c r="D42" s="9"/>
      <c r="E42" s="10" t="str">
        <f t="shared" si="2"/>
        <v/>
      </c>
      <c r="F42" s="11"/>
      <c r="G42" s="12" t="str">
        <f t="shared" ca="1" si="3"/>
        <v/>
      </c>
      <c r="H42" s="8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ht="19.5" customHeight="1" x14ac:dyDescent="0.3">
      <c r="A43" s="8"/>
      <c r="B43" s="8"/>
      <c r="C43" s="9"/>
      <c r="D43" s="9"/>
      <c r="E43" s="10" t="str">
        <f t="shared" si="2"/>
        <v/>
      </c>
      <c r="F43" s="11"/>
      <c r="G43" s="12" t="str">
        <f t="shared" ca="1" si="3"/>
        <v/>
      </c>
      <c r="H43" s="8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ht="19.5" customHeight="1" x14ac:dyDescent="0.3">
      <c r="A44" s="8"/>
      <c r="B44" s="8"/>
      <c r="C44" s="9"/>
      <c r="D44" s="9"/>
      <c r="E44" s="10" t="str">
        <f t="shared" si="2"/>
        <v/>
      </c>
      <c r="F44" s="11"/>
      <c r="G44" s="12" t="str">
        <f t="shared" ca="1" si="3"/>
        <v/>
      </c>
      <c r="H44" s="8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ht="19.5" customHeight="1" x14ac:dyDescent="0.3">
      <c r="A45" s="8"/>
      <c r="B45" s="8"/>
      <c r="C45" s="9"/>
      <c r="D45" s="9"/>
      <c r="E45" s="10" t="str">
        <f t="shared" si="2"/>
        <v/>
      </c>
      <c r="F45" s="11"/>
      <c r="G45" s="12" t="str">
        <f t="shared" ca="1" si="3"/>
        <v/>
      </c>
      <c r="H45" s="8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ht="19.5" customHeight="1" x14ac:dyDescent="0.3">
      <c r="A46" s="8"/>
      <c r="B46" s="8"/>
      <c r="C46" s="9"/>
      <c r="D46" s="9"/>
      <c r="E46" s="10" t="str">
        <f t="shared" si="2"/>
        <v/>
      </c>
      <c r="F46" s="11"/>
      <c r="G46" s="12" t="str">
        <f t="shared" ca="1" si="3"/>
        <v/>
      </c>
      <c r="H46" s="8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</sheetData>
  <mergeCells count="18">
    <mergeCell ref="M3:Q3"/>
    <mergeCell ref="A4:B4"/>
    <mergeCell ref="C4:D4"/>
    <mergeCell ref="E4:F4"/>
    <mergeCell ref="G4:H4"/>
    <mergeCell ref="I4:L4"/>
    <mergeCell ref="M4:Q4"/>
    <mergeCell ref="A3:B3"/>
    <mergeCell ref="C3:D3"/>
    <mergeCell ref="E3:F3"/>
    <mergeCell ref="G3:H3"/>
    <mergeCell ref="I3:L3"/>
    <mergeCell ref="A1:AL1"/>
    <mergeCell ref="I2:J2"/>
    <mergeCell ref="K2:L2"/>
    <mergeCell ref="M2:N2"/>
    <mergeCell ref="O2:P2"/>
    <mergeCell ref="Q2:R2"/>
  </mergeCells>
  <conditionalFormatting sqref="F7:F46">
    <cfRule type="dataBar" priority="11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{9F67EDF8-6B96-4A00-9020-11C9B07FF021}</x14:id>
        </ext>
      </extLst>
    </cfRule>
  </conditionalFormatting>
  <conditionalFormatting sqref="G7:G46">
    <cfRule type="expression" dxfId="8" priority="7">
      <formula>TRIM($G7)="Done"</formula>
    </cfRule>
    <cfRule type="expression" dxfId="7" priority="8">
      <formula>TRIM($G7)="In Progress"</formula>
    </cfRule>
    <cfRule type="expression" dxfId="6" priority="9">
      <formula>TRIM($G7)="Planned"</formula>
    </cfRule>
    <cfRule type="expression" dxfId="5" priority="10">
      <formula>TRIM($G7)="Delayed"</formula>
    </cfRule>
  </conditionalFormatting>
  <conditionalFormatting sqref="I5:AL6">
    <cfRule type="expression" dxfId="4" priority="6">
      <formula>AND(I$6&lt;=TODAY(),I$6+6&gt;=TODAY())</formula>
    </cfRule>
  </conditionalFormatting>
  <conditionalFormatting sqref="I7:AL46">
    <cfRule type="expression" dxfId="3" priority="2">
      <formula>AND(I$6&lt;=$D7,I$6+6&gt;=$C7,TRIM($G7)="Done")</formula>
    </cfRule>
    <cfRule type="expression" dxfId="2" priority="3">
      <formula>AND(I$6&lt;=$D7,I$6+6&gt;=$C7,TRIM($G7)="In Progress")</formula>
    </cfRule>
    <cfRule type="expression" dxfId="1" priority="4">
      <formula>AND(I$6&lt;=$D7,I$6+6&gt;=$C7,TRIM($G7)="Delayed")</formula>
    </cfRule>
    <cfRule type="expression" dxfId="0" priority="5">
      <formula>AND(I$6&lt;=$D7,I$6+6&gt;=$C7,TRIM($G7)="Planned")</formula>
    </cfRule>
  </conditionalFormatting>
  <printOptions horizontalCentered="1"/>
  <pageMargins left="0.75" right="0.75" top="1" bottom="1" header="0.511811023622047" footer="0.511811023622047"/>
  <pageSetup fitToHeight="0" orientation="landscape" horizontalDpi="300" verticalDpi="300"/>
  <headerFooter>
    <oddFooter>&amp;C_x000D_&amp;1#&amp;"Aptos"&amp;6&amp;K626469 Public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67EDF8-6B96-4A00-9020-11C9B07FF021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F7:F46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Use</vt:lpstr>
      <vt:lpstr>Gantt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Bagus PRIYOHANDOKO</cp:lastModifiedBy>
  <cp:revision>0</cp:revision>
  <dcterms:created xsi:type="dcterms:W3CDTF">2026-06-23T07:24:01Z</dcterms:created>
  <dcterms:modified xsi:type="dcterms:W3CDTF">2026-06-24T03:38:49Z</dcterms:modified>
  <dc:language>en-US</dc:language>
</cp:coreProperties>
</file>